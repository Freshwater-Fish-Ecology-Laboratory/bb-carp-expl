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rec-2/carp_lk/data/creel/"/>
    </mc:Choice>
  </mc:AlternateContent>
  <xr:revisionPtr revIDLastSave="0" documentId="13_ncr:1_{42BDA1FD-149B-064E-98E7-F07653488CF9}" xr6:coauthVersionLast="47" xr6:coauthVersionMax="47" xr10:uidLastSave="{00000000-0000-0000-0000-000000000000}"/>
  <bookViews>
    <workbookView xWindow="840" yWindow="500" windowWidth="27960" windowHeight="17500" xr2:uid="{FFB73166-5379-C14C-BF20-022D525C798F}"/>
  </bookViews>
  <sheets>
    <sheet name="carp_creel_A" sheetId="1" r:id="rId1"/>
    <sheet name="carp_creel_B" sheetId="3" r:id="rId2"/>
    <sheet name="carp_creel_C" sheetId="4" r:id="rId3"/>
    <sheet name="carp_creel_D" sheetId="5" r:id="rId4"/>
    <sheet name="carp_creel_bbdata" sheetId="2" r:id="rId5"/>
    <sheet name="multiple_choice_codes" sheetId="6" r:id="rId6"/>
    <sheet name="creel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1" l="1"/>
  <c r="AA7" i="1"/>
  <c r="AA27" i="1"/>
  <c r="AA30" i="1"/>
  <c r="AA32" i="1"/>
  <c r="AA2" i="1"/>
  <c r="AA29" i="1"/>
  <c r="AA17" i="1"/>
  <c r="AA4" i="1"/>
  <c r="AA3" i="1"/>
  <c r="AA26" i="1"/>
  <c r="AA5" i="1"/>
  <c r="AA10" i="1"/>
  <c r="AA16" i="1"/>
  <c r="AA28" i="1"/>
  <c r="AA31" i="1"/>
  <c r="AA18" i="1"/>
  <c r="AA34" i="1"/>
  <c r="AA35" i="1"/>
  <c r="AA11" i="1"/>
  <c r="AA14" i="1"/>
  <c r="AA23" i="1"/>
  <c r="AA24" i="1"/>
  <c r="AA33" i="1"/>
  <c r="AA38" i="1"/>
  <c r="AA9" i="1"/>
  <c r="AA36" i="1"/>
  <c r="AA6" i="1"/>
  <c r="AA22" i="1"/>
  <c r="AA19" i="1"/>
  <c r="AA20" i="1"/>
  <c r="AA21" i="1"/>
  <c r="AA13" i="1"/>
  <c r="AA25" i="1"/>
  <c r="AA37" i="1"/>
  <c r="AA15" i="1"/>
  <c r="AA12" i="1"/>
  <c r="AA39" i="1"/>
  <c r="AA40" i="1" l="1"/>
  <c r="N40" i="1"/>
  <c r="P40" i="1"/>
  <c r="E42" i="3"/>
  <c r="O2" i="1"/>
  <c r="O4" i="1"/>
  <c r="O7" i="1"/>
  <c r="O5" i="1"/>
  <c r="O8" i="1"/>
  <c r="O10" i="1"/>
  <c r="O9" i="1"/>
  <c r="O11" i="1"/>
  <c r="O13" i="1"/>
  <c r="O14" i="1"/>
  <c r="O19" i="1"/>
  <c r="O20" i="1"/>
  <c r="O22" i="1"/>
  <c r="O23" i="1"/>
  <c r="O24" i="1"/>
  <c r="O27" i="1"/>
  <c r="O28" i="1"/>
  <c r="O33" i="1"/>
  <c r="O35" i="1"/>
  <c r="N25" i="7"/>
  <c r="N36" i="7"/>
  <c r="N2" i="7"/>
  <c r="N26" i="7"/>
  <c r="N3" i="7"/>
  <c r="N4" i="7"/>
  <c r="N27" i="7"/>
  <c r="N5" i="7"/>
  <c r="N6" i="7"/>
  <c r="N7" i="7"/>
  <c r="N28" i="7"/>
  <c r="N37" i="7"/>
  <c r="N39" i="7"/>
  <c r="N8" i="7"/>
  <c r="N9" i="7"/>
  <c r="N10" i="7"/>
  <c r="N11" i="7"/>
  <c r="N12" i="7"/>
  <c r="N13" i="7"/>
  <c r="N14" i="7"/>
  <c r="N35" i="7"/>
  <c r="N29" i="7"/>
  <c r="N15" i="7"/>
  <c r="N30" i="7"/>
  <c r="N31" i="7"/>
  <c r="N32" i="7"/>
  <c r="N16" i="7"/>
  <c r="N17" i="7"/>
  <c r="N18" i="7"/>
  <c r="N19" i="7"/>
  <c r="N33" i="7"/>
  <c r="N20" i="7"/>
  <c r="N21" i="7"/>
  <c r="N34" i="7"/>
  <c r="N38" i="7"/>
  <c r="N22" i="7"/>
  <c r="N23" i="7"/>
  <c r="N24" i="7"/>
  <c r="K38" i="7" l="1"/>
  <c r="K20" i="7"/>
  <c r="K33" i="7"/>
  <c r="K19" i="7"/>
  <c r="K18" i="7"/>
  <c r="K16" i="7"/>
  <c r="K30" i="7"/>
  <c r="K15" i="7"/>
  <c r="K29" i="7"/>
  <c r="K35" i="7"/>
  <c r="K12" i="7"/>
  <c r="K11" i="7"/>
  <c r="K7" i="7"/>
  <c r="K6" i="7"/>
  <c r="K5" i="7"/>
  <c r="K27" i="7"/>
  <c r="K21" i="7"/>
  <c r="K9" i="7"/>
  <c r="S11" i="2"/>
  <c r="L30" i="1"/>
  <c r="O30" i="1" s="1"/>
  <c r="L31" i="1"/>
  <c r="O31" i="1" s="1"/>
  <c r="L21" i="1"/>
  <c r="L18" i="1"/>
  <c r="O18" i="1" s="1"/>
  <c r="L17" i="1"/>
  <c r="O17" i="1" s="1"/>
  <c r="F21" i="2"/>
  <c r="L3" i="1"/>
  <c r="O3" i="1" s="1"/>
  <c r="L16" i="1"/>
  <c r="O16" i="1" s="1"/>
  <c r="L15" i="1"/>
  <c r="O15" i="1" s="1"/>
  <c r="L6" i="1"/>
  <c r="O6" i="1" s="1"/>
  <c r="L39" i="1"/>
  <c r="O39" i="1" s="1"/>
  <c r="L38" i="1"/>
  <c r="O38" i="1" s="1"/>
  <c r="L37" i="1"/>
  <c r="O37" i="1" s="1"/>
  <c r="L36" i="1"/>
  <c r="O36" i="1" s="1"/>
  <c r="L32" i="1"/>
  <c r="O32" i="1" s="1"/>
  <c r="L29" i="1"/>
  <c r="O29" i="1" s="1"/>
  <c r="L25" i="1"/>
  <c r="O25" i="1" s="1"/>
  <c r="F53" i="2"/>
  <c r="F30" i="2"/>
  <c r="F14" i="2"/>
  <c r="F25" i="2"/>
  <c r="F44" i="2"/>
  <c r="F27" i="2"/>
  <c r="F13" i="2"/>
  <c r="F4" i="2"/>
  <c r="F43" i="2"/>
  <c r="F35" i="2"/>
  <c r="F40" i="2"/>
  <c r="F7" i="2"/>
  <c r="F15" i="2"/>
  <c r="F23" i="2"/>
  <c r="F12" i="2"/>
  <c r="F11" i="2"/>
  <c r="F29" i="2"/>
  <c r="F6" i="2"/>
  <c r="F45" i="2"/>
  <c r="F54" i="2"/>
  <c r="F32" i="2"/>
  <c r="F18" i="2"/>
  <c r="F49" i="2"/>
  <c r="F19" i="2"/>
  <c r="F46" i="2"/>
  <c r="F31" i="2"/>
  <c r="F20" i="2"/>
  <c r="F52" i="2"/>
  <c r="F42" i="2"/>
  <c r="F41" i="2"/>
  <c r="F48" i="2"/>
  <c r="F9" i="2"/>
  <c r="F5" i="2"/>
  <c r="F22" i="2"/>
  <c r="F55" i="2"/>
  <c r="F26" i="2"/>
  <c r="F3" i="2"/>
  <c r="F24" i="2"/>
  <c r="L34" i="1"/>
  <c r="O34" i="1" s="1"/>
  <c r="L26" i="1"/>
  <c r="O26" i="1" s="1"/>
  <c r="L41" i="1" l="1"/>
  <c r="L40" i="1"/>
  <c r="O21" i="1"/>
  <c r="O40" i="1" s="1"/>
  <c r="M40" i="1"/>
  <c r="N42" i="1" s="1"/>
</calcChain>
</file>

<file path=xl/sharedStrings.xml><?xml version="1.0" encoding="utf-8"?>
<sst xmlns="http://schemas.openxmlformats.org/spreadsheetml/2006/main" count="2838" uniqueCount="423">
  <si>
    <t>Survey number</t>
  </si>
  <si>
    <t>Date</t>
  </si>
  <si>
    <t>Angler code</t>
  </si>
  <si>
    <t>Time</t>
  </si>
  <si>
    <t>No. in party</t>
  </si>
  <si>
    <t>Start time</t>
  </si>
  <si>
    <t>End time</t>
  </si>
  <si>
    <t>Total hours</t>
  </si>
  <si>
    <t>Burbot fishing Y/N</t>
  </si>
  <si>
    <t>Sample collected Y/N</t>
  </si>
  <si>
    <t>Gear</t>
  </si>
  <si>
    <t>Bait</t>
  </si>
  <si>
    <t>Likeliness to report - no reward</t>
  </si>
  <si>
    <t>A1</t>
  </si>
  <si>
    <t>Y</t>
  </si>
  <si>
    <t>burbot caught</t>
  </si>
  <si>
    <t>burbot kept</t>
  </si>
  <si>
    <t>burbot released</t>
  </si>
  <si>
    <t>tagged burbot caught</t>
  </si>
  <si>
    <t>set-line</t>
  </si>
  <si>
    <t>fish head</t>
  </si>
  <si>
    <t>approx catch location</t>
  </si>
  <si>
    <t>A2</t>
  </si>
  <si>
    <t>trout</t>
  </si>
  <si>
    <t>White Spruce Island</t>
  </si>
  <si>
    <t>A3</t>
  </si>
  <si>
    <t>"left of Bert's Cabin, bay in front of spruce-killed island, approx 50ft"</t>
  </si>
  <si>
    <t>A4</t>
  </si>
  <si>
    <t>"nighttime"</t>
  </si>
  <si>
    <t>"morning"</t>
  </si>
  <si>
    <t>N</t>
  </si>
  <si>
    <t>A5</t>
  </si>
  <si>
    <t>5:00:00 PM THURS</t>
  </si>
  <si>
    <t>09:00 SUN</t>
  </si>
  <si>
    <t>set-line + jigging 3h</t>
  </si>
  <si>
    <t>chicken gizzards</t>
  </si>
  <si>
    <t>off Balsam Island</t>
  </si>
  <si>
    <t>A6</t>
  </si>
  <si>
    <t>A7</t>
  </si>
  <si>
    <t>rainbow trout head</t>
  </si>
  <si>
    <t>A8</t>
  </si>
  <si>
    <t>rainbow trout heads</t>
  </si>
  <si>
    <t>near creek</t>
  </si>
  <si>
    <t>A10</t>
  </si>
  <si>
    <t>peamouth chub</t>
  </si>
  <si>
    <t>A11</t>
  </si>
  <si>
    <t>NA</t>
  </si>
  <si>
    <t>trout head</t>
  </si>
  <si>
    <t>Comment</t>
  </si>
  <si>
    <t>angler was fishing trout but has experience fishing burbot in the past.</t>
  </si>
  <si>
    <t>A12</t>
  </si>
  <si>
    <t>A13</t>
  </si>
  <si>
    <t>morning</t>
  </si>
  <si>
    <t>rainbow trout parts</t>
  </si>
  <si>
    <t>south-east corner (Z4)</t>
  </si>
  <si>
    <t>A14</t>
  </si>
  <si>
    <t>fished over 2 nights. No fish caught</t>
  </si>
  <si>
    <t>A15</t>
  </si>
  <si>
    <t>A16</t>
  </si>
  <si>
    <t>not recorded</t>
  </si>
  <si>
    <t>fished over 5 days setting around 3pm each day and checking around 11am the following morning.</t>
  </si>
  <si>
    <t>A17</t>
  </si>
  <si>
    <t>east side of White Spruce Island</t>
  </si>
  <si>
    <t>comment</t>
  </si>
  <si>
    <t>A18</t>
  </si>
  <si>
    <t>Fishing today Y/N</t>
  </si>
  <si>
    <t>"by the islands"</t>
  </si>
  <si>
    <t>At what time of day do you typically set your line?</t>
  </si>
  <si>
    <t>At what time of day do you typically check your line?</t>
  </si>
  <si>
    <t>Before we began this survey, were you aware there is a burbot-tagging program happening at Carp Lake?</t>
  </si>
  <si>
    <t>Likeliness to report - $100 reward</t>
  </si>
  <si>
    <t>alternatives to report tagged burbot?</t>
  </si>
  <si>
    <t>No</t>
  </si>
  <si>
    <t>likely</t>
  </si>
  <si>
    <t>About how often do you fish for burbot at Carp Lake each year?2</t>
  </si>
  <si>
    <t>once a year or less</t>
  </si>
  <si>
    <t>11:00 or 19:00</t>
  </si>
  <si>
    <t>How long have you been fishing for burbot at Carp Lake?</t>
  </si>
  <si>
    <t>Have you heard concerns about fish or fishing at Carp Lake?</t>
  </si>
  <si>
    <t>Have you noticed any changes in burbot during the time you’ve been fishing at Carp Lake?</t>
  </si>
  <si>
    <t>10-20 years</t>
  </si>
  <si>
    <t>more than 20 years</t>
  </si>
  <si>
    <t>very likely</t>
  </si>
  <si>
    <t>"too many northern pike eating trout eggs"</t>
  </si>
  <si>
    <t>None</t>
  </si>
  <si>
    <t>night</t>
  </si>
  <si>
    <t>Yes</t>
  </si>
  <si>
    <t>"I don't know"</t>
  </si>
  <si>
    <t>declined to fill this section</t>
  </si>
  <si>
    <t>2-5 years</t>
  </si>
  <si>
    <t>neutral</t>
  </si>
  <si>
    <t>first thing in the morning</t>
  </si>
  <si>
    <t>asked why some burbot might be more of a grey colour</t>
  </si>
  <si>
    <t>evening</t>
  </si>
  <si>
    <t>"our second fishing trip. Lots of fish"</t>
  </si>
  <si>
    <t>morning and evening</t>
  </si>
  <si>
    <t>"More money?"</t>
  </si>
  <si>
    <t>"Not really"</t>
  </si>
  <si>
    <t>during day/overnight</t>
  </si>
  <si>
    <t>unlikely</t>
  </si>
  <si>
    <t>"poaching lines" (people pulling up others' lines); someone setting too many lines in winter out by Bert's Cabin. Stolen gear and leaving burbot to die on the ice. Not following regs, for example tying lines to shore</t>
  </si>
  <si>
    <t>No "pretty consistent", "range of sizes"</t>
  </si>
  <si>
    <t>first time burbot fishing but planning to do more now that they have the gear setup</t>
  </si>
  <si>
    <t>online or option phone/online. Simple process with few button-presses as possible</t>
  </si>
  <si>
    <t>incentive: pin/badge with name of enhancement program/study/etc. Promotes the research and conservation when worn and people like collecting stuff. $50 is sufficient reward</t>
  </si>
  <si>
    <t>size and quantity limits needed - 2 burbot/person/day; only 1 burbot if over a certain size. Needs to be more "reasonable and sustainable" approach to burbot - precautionary, and continuous monitoring needed</t>
  </si>
  <si>
    <t>No - more focused on rainbow trout in recent years. "Rainbows are smaller now"</t>
  </si>
  <si>
    <t>angler very enthusiastic about the need for research on burbot sustainable harvest levels</t>
  </si>
  <si>
    <t>A</t>
  </si>
  <si>
    <t>morning/evening</t>
  </si>
  <si>
    <t>all day</t>
  </si>
  <si>
    <t>AM</t>
  </si>
  <si>
    <t>A19</t>
  </si>
  <si>
    <t>"just storms and waves"</t>
  </si>
  <si>
    <t>A20</t>
  </si>
  <si>
    <t>21:00-22:00</t>
  </si>
  <si>
    <t>"app?"</t>
  </si>
  <si>
    <t>A21</t>
  </si>
  <si>
    <t>overnight (around 17:30)</t>
  </si>
  <si>
    <t>morning (around 10:30)</t>
  </si>
  <si>
    <t>A22</t>
  </si>
  <si>
    <t>people would be more likely to participate in studies if regulations were more clear, less frustration with government</t>
  </si>
  <si>
    <t>angler expressed frustration with the fishing regs being "confusing"/vague/changing often</t>
  </si>
  <si>
    <t>A23</t>
  </si>
  <si>
    <t>jigging</t>
  </si>
  <si>
    <t>09:00-09:30</t>
  </si>
  <si>
    <t>"glow jig and tube"</t>
  </si>
  <si>
    <t>pike minnow</t>
  </si>
  <si>
    <t>2+kids</t>
  </si>
  <si>
    <t>shrimp</t>
  </si>
  <si>
    <t>fished for 2x overnights</t>
  </si>
  <si>
    <t>trout heads</t>
  </si>
  <si>
    <t>very unlikely</t>
  </si>
  <si>
    <t>filled out "very unlikely" to reward-tag question BUT talked at length about how people want to win prizes so pretty sure that was a mistake</t>
  </si>
  <si>
    <t>"No, only that there's lots of shallow spots!"</t>
  </si>
  <si>
    <t>A24</t>
  </si>
  <si>
    <t>fish parts</t>
  </si>
  <si>
    <t>"small island in the middle of the main lake"</t>
  </si>
  <si>
    <t>A25</t>
  </si>
  <si>
    <t>tagged BB # 7631</t>
  </si>
  <si>
    <t>more than 5 times per year</t>
  </si>
  <si>
    <t xml:space="preserve">very unlikely </t>
  </si>
  <si>
    <t>"No always seem to catch them"</t>
  </si>
  <si>
    <t>A26</t>
  </si>
  <si>
    <t>"last night"</t>
  </si>
  <si>
    <t>whitefish</t>
  </si>
  <si>
    <t>not sure what they meant by "rewards" - maybe a variety of rewards or all tags have a reward…</t>
  </si>
  <si>
    <t>A27</t>
  </si>
  <si>
    <t>"behind island left side half way down lake"</t>
  </si>
  <si>
    <t>A28</t>
  </si>
  <si>
    <t>end of evening</t>
  </si>
  <si>
    <t>"Never, always look healthy taste great, great fishing"</t>
  </si>
  <si>
    <t>A29</t>
  </si>
  <si>
    <t>worms</t>
  </si>
  <si>
    <t>after checking the last line (~ 13:30)</t>
  </si>
  <si>
    <t>night/ again next day</t>
  </si>
  <si>
    <t>A30</t>
  </si>
  <si>
    <t>checked evening, then again morning at 6:45</t>
  </si>
  <si>
    <t>rainbow trout</t>
  </si>
  <si>
    <t>No - money reward is good</t>
  </si>
  <si>
    <t>angler said that for reporting of tags, people need to understand that they don't have to release the tagged fish. Instructions/advertisement could be more clear</t>
  </si>
  <si>
    <t>A32</t>
  </si>
  <si>
    <t>3 nights of fishing, one fish caught</t>
  </si>
  <si>
    <t>08:00-10:00</t>
  </si>
  <si>
    <t>A31</t>
  </si>
  <si>
    <t>tagging is good for a remote park where a constant creel survey can't be done</t>
  </si>
  <si>
    <t>NA for typical setline times because this angler usually jigs</t>
  </si>
  <si>
    <t>A33</t>
  </si>
  <si>
    <t>"off first point past Kettle Bay"</t>
  </si>
  <si>
    <t>early morning</t>
  </si>
  <si>
    <t>A34</t>
  </si>
  <si>
    <t>"first big bay past island"</t>
  </si>
  <si>
    <t>night or after checking</t>
  </si>
  <si>
    <t>heard that locals overharvested over winter - carcasses left on ice</t>
  </si>
  <si>
    <t>A35</t>
  </si>
  <si>
    <t>19:30, 08:00</t>
  </si>
  <si>
    <t>08:00, 19:30</t>
  </si>
  <si>
    <t>angler noted that the lack of cell service is a challenge for tag-reporting at Car pLake via phone line. Said that for them personally, they'd be equally likely to report a non-reward vs reward tag</t>
  </si>
  <si>
    <t>Burbot ID</t>
  </si>
  <si>
    <t>Angler Code</t>
  </si>
  <si>
    <t>Date caught</t>
  </si>
  <si>
    <t>Date sampled</t>
  </si>
  <si>
    <t>Total Length (cm)</t>
  </si>
  <si>
    <t>Weight (g)</t>
  </si>
  <si>
    <t>Otoliths collected Y/N</t>
  </si>
  <si>
    <t>Fate</t>
  </si>
  <si>
    <t>Tagged Y/N</t>
  </si>
  <si>
    <t>Floy tag number</t>
  </si>
  <si>
    <t>Location</t>
  </si>
  <si>
    <t>Notes</t>
  </si>
  <si>
    <t>harvested</t>
  </si>
  <si>
    <t>"mid lake"</t>
  </si>
  <si>
    <t>"first island"</t>
  </si>
  <si>
    <t>southeast part of lake. Inferred "zone 4"</t>
  </si>
  <si>
    <t>bay just past the little shack/narrow channel</t>
  </si>
  <si>
    <t>had 4 lines out. Fished for 3 days</t>
  </si>
  <si>
    <t>"left of Bert's Cabin, bay in front of spruce-kill island, approx 50ft"</t>
  </si>
  <si>
    <t>"big island past the bay"</t>
  </si>
  <si>
    <t>Sampled during tagging season; not part of creel survey</t>
  </si>
  <si>
    <t>discarded</t>
  </si>
  <si>
    <t>Which age range do you belong to?</t>
  </si>
  <si>
    <t>About how long does it take you to drive to Carp Lake from place of residence?</t>
  </si>
  <si>
    <t>Are you a member of any of the following Indigenous communities?</t>
  </si>
  <si>
    <t>Highest level of education completed</t>
  </si>
  <si>
    <t>What is your estimated annual household income?</t>
  </si>
  <si>
    <t>What gender do you identify as? (one respondent per party)</t>
  </si>
  <si>
    <t>Bait 2</t>
  </si>
  <si>
    <t>northern pike</t>
  </si>
  <si>
    <t>salmon eggs</t>
  </si>
  <si>
    <t>sardines</t>
  </si>
  <si>
    <t>shrimps</t>
  </si>
  <si>
    <t>prawn</t>
  </si>
  <si>
    <t>"northern pike &amp; salmon eggs"</t>
  </si>
  <si>
    <t>Bait 1</t>
  </si>
  <si>
    <t>"shrimp and sardines"</t>
  </si>
  <si>
    <t>"chicken gizzards"</t>
  </si>
  <si>
    <t>"shrimps, prawn"</t>
  </si>
  <si>
    <t>"chicken, fish head"</t>
  </si>
  <si>
    <t>chicken</t>
  </si>
  <si>
    <t>"fish head"</t>
  </si>
  <si>
    <t>"trout"</t>
  </si>
  <si>
    <t>"rainbow trout head"</t>
  </si>
  <si>
    <t>"rainbow trout heads"</t>
  </si>
  <si>
    <t>"peamouth chub"</t>
  </si>
  <si>
    <t>"trout head"</t>
  </si>
  <si>
    <t>"rainbow trout parts"</t>
  </si>
  <si>
    <t>"pike minnow"</t>
  </si>
  <si>
    <t>"rainbow trout head and pike minnow body"</t>
  </si>
  <si>
    <t>pike minnow body</t>
  </si>
  <si>
    <t>"shrimp"</t>
  </si>
  <si>
    <t>"trout heads"</t>
  </si>
  <si>
    <t>"fish parts"</t>
  </si>
  <si>
    <t>"whitefish"</t>
  </si>
  <si>
    <t>"worms"</t>
  </si>
  <si>
    <t>"rainbow trout"</t>
  </si>
  <si>
    <t>"rainbow trout heads and/or tails, guts"</t>
  </si>
  <si>
    <t>"little island past the burnt island"</t>
  </si>
  <si>
    <t>C</t>
  </si>
  <si>
    <t>B</t>
  </si>
  <si>
    <t>E</t>
  </si>
  <si>
    <t>F</t>
  </si>
  <si>
    <t>Question 1</t>
  </si>
  <si>
    <t>18-34 years old</t>
  </si>
  <si>
    <t>35-49 years old</t>
  </si>
  <si>
    <t>50-64 years old</t>
  </si>
  <si>
    <t>D</t>
  </si>
  <si>
    <t>65-79 years old</t>
  </si>
  <si>
    <t>80 years or older</t>
  </si>
  <si>
    <t>I prefer not to say</t>
  </si>
  <si>
    <t>Question 1.</t>
  </si>
  <si>
    <t>less than 1 hour</t>
  </si>
  <si>
    <t>1-3 hours</t>
  </si>
  <si>
    <t>more than 3 hours</t>
  </si>
  <si>
    <t>Question 2</t>
  </si>
  <si>
    <t>First Nation</t>
  </si>
  <si>
    <t>Inuit</t>
  </si>
  <si>
    <t>Métis</t>
  </si>
  <si>
    <t>Other</t>
  </si>
  <si>
    <t>Question 3</t>
  </si>
  <si>
    <t>G</t>
  </si>
  <si>
    <t>Female</t>
  </si>
  <si>
    <t>Male</t>
  </si>
  <si>
    <t>Non-binary</t>
  </si>
  <si>
    <t>Transgender</t>
  </si>
  <si>
    <t>Two-Spirit</t>
  </si>
  <si>
    <t>Question 4</t>
  </si>
  <si>
    <t>H</t>
  </si>
  <si>
    <t>some high school</t>
  </si>
  <si>
    <t>high school diploma</t>
  </si>
  <si>
    <t>some university or college or trade school</t>
  </si>
  <si>
    <t>bachelor's degree or college diploma or trades certificate</t>
  </si>
  <si>
    <t>Master's degree</t>
  </si>
  <si>
    <t>some graduate school</t>
  </si>
  <si>
    <t>Ph.D/doctoral degree or equivalent</t>
  </si>
  <si>
    <t>Question 5</t>
  </si>
  <si>
    <t>under $15,000</t>
  </si>
  <si>
    <t>between $15,000 and $29,999</t>
  </si>
  <si>
    <t>between $30,000 and $49,000</t>
  </si>
  <si>
    <t>between $50,000 and $74,999</t>
  </si>
  <si>
    <t>between $75,000 and $99,999</t>
  </si>
  <si>
    <t>between $100,000 and $150,000</t>
  </si>
  <si>
    <t>over $150,000</t>
  </si>
  <si>
    <t>Question 6</t>
  </si>
  <si>
    <t>answered both B anc C to Question 5</t>
  </si>
  <si>
    <t>respondant's answers; but group of 6 people. 3 female, 3 male, said they were "middle class" with 1 retiree, 2x 35-49y/o, 4x 50-64 y/o</t>
  </si>
  <si>
    <t>"mid-lake"</t>
  </si>
  <si>
    <t>"White Spruce Island"</t>
  </si>
  <si>
    <t>"White Spruce"</t>
  </si>
  <si>
    <t>"off Balsam Isl"</t>
  </si>
  <si>
    <t>"big island past bay"</t>
  </si>
  <si>
    <t>near Black Spruce Isl?</t>
  </si>
  <si>
    <t>"near creek"</t>
  </si>
  <si>
    <t>"1st island"</t>
  </si>
  <si>
    <t>NA - not burbot fishing this trip</t>
  </si>
  <si>
    <t>from described location - burnt island is in "Zone 1" corner of lake</t>
  </si>
  <si>
    <t>did not record word-for-word description of location but the angler described it as in this far corner, described landmarks and "south-east"</t>
  </si>
  <si>
    <t>"none :( "</t>
  </si>
  <si>
    <t>"bay just past the little shack/bay"</t>
  </si>
  <si>
    <t>angler said the bay they fished was not Sekani Bay but the next one</t>
  </si>
  <si>
    <t>"off point near Bert's Cabin; mid-channel by third Island"</t>
  </si>
  <si>
    <t xml:space="preserve">reported that they used the same location and bait as earlier trip so I filled these in as the same answers </t>
  </si>
  <si>
    <t>"east side of White Spruce Island"</t>
  </si>
  <si>
    <t>"Balsam Island"</t>
  </si>
  <si>
    <t>NA - did not catch any burbot</t>
  </si>
  <si>
    <t>"bay near Bert's Cabin (both days)"</t>
  </si>
  <si>
    <t>"Balsam Isl"</t>
  </si>
  <si>
    <t>"right off an island on steep dropoff"</t>
  </si>
  <si>
    <t>"around Black Spruce Island"</t>
  </si>
  <si>
    <t>"White Spruce south"</t>
  </si>
  <si>
    <t>"near an island"</t>
  </si>
  <si>
    <t>"just before White Spruce"</t>
  </si>
  <si>
    <t>"by the river/first big island"</t>
  </si>
  <si>
    <t>"off north end of White Spruce Island"</t>
  </si>
  <si>
    <t>"northeast bay - east of Black Spruce Island"</t>
  </si>
  <si>
    <t>"4x in bay near Pine Island, 1-2 near White Spruce, near Fir Island at dropoff"</t>
  </si>
  <si>
    <t>between 2-5 times per year</t>
  </si>
  <si>
    <t>I come here regularly (e.g. once a month or more)</t>
  </si>
  <si>
    <t>Other:_</t>
  </si>
  <si>
    <t>Question 9</t>
  </si>
  <si>
    <t>Question 11a</t>
  </si>
  <si>
    <t>Question 11b</t>
  </si>
  <si>
    <t>1 year or less</t>
  </si>
  <si>
    <t>5-10 years</t>
  </si>
  <si>
    <t>PART B: Burbot fishing at Carp Lake</t>
  </si>
  <si>
    <t>PART C: Observations of the burbot fishery</t>
  </si>
  <si>
    <t>PART D: Demographic information</t>
  </si>
  <si>
    <t>first time burbot fishing</t>
  </si>
  <si>
    <t>"last year - poor fishing"</t>
  </si>
  <si>
    <t>"No"</t>
  </si>
  <si>
    <t>"online/phone #"</t>
  </si>
  <si>
    <t>"QR code"</t>
  </si>
  <si>
    <t>"reporting online, uploading info and picture"</t>
  </si>
  <si>
    <t>"None"</t>
  </si>
  <si>
    <t xml:space="preserve"> "No"</t>
  </si>
  <si>
    <t>"phone number is good. Email as 2 options"</t>
  </si>
  <si>
    <t>"No - we always come here because we know we'll have a catch"</t>
  </si>
  <si>
    <t>"caught 'grey' burbot, small ( ~9y ago)"</t>
  </si>
  <si>
    <t>"online link"</t>
  </si>
  <si>
    <t>"compulsory reporting on fishing licenses"</t>
  </si>
  <si>
    <t>"phone number"</t>
  </si>
  <si>
    <t>"people poaching lines"</t>
  </si>
  <si>
    <t>"pictures"</t>
  </si>
  <si>
    <t>"N/A"</t>
  </si>
  <si>
    <t>"derby style - certain tags get better prize"</t>
  </si>
  <si>
    <t>"a drop-box at the fish cleaning station"</t>
  </si>
  <si>
    <t>"some of the trout have worms"</t>
  </si>
  <si>
    <t>"no real concerns"</t>
  </si>
  <si>
    <t>"rewards"</t>
  </si>
  <si>
    <t>"NEVER"</t>
  </si>
  <si>
    <t>"SMALLER"</t>
  </si>
  <si>
    <t>"calling or online" (option)</t>
  </si>
  <si>
    <t>"text or email"</t>
  </si>
  <si>
    <t>"No - always decent"</t>
  </si>
  <si>
    <t>"No never really fished burbot before"</t>
  </si>
  <si>
    <t>"haven't fished here long enough to tell"</t>
  </si>
  <si>
    <t>No, but worry about the burbot fishery because it is usually fished for food not sport, so burbot usually killed not released</t>
  </si>
  <si>
    <t>"No - always slower in summer as it gets warm"</t>
  </si>
  <si>
    <t>not really - "hit or miss"</t>
  </si>
  <si>
    <t>"Bigger sign with "Please report" "</t>
  </si>
  <si>
    <t>"drop box"</t>
  </si>
  <si>
    <t>"Bigger last year, but not really"</t>
  </si>
  <si>
    <t>number of sets</t>
  </si>
  <si>
    <t>JIG</t>
  </si>
  <si>
    <t>tagged BB # 7482. 1 night x 4 set-lines</t>
  </si>
  <si>
    <t>5 lines</t>
  </si>
  <si>
    <t>2 lines</t>
  </si>
  <si>
    <t>x 4 lines (one per person) Set during day, checked, then re-set overnight</t>
  </si>
  <si>
    <t>Set 6 lines for 3 nights, checked then kept lines out during the day</t>
  </si>
  <si>
    <t>fished 3x nights. 2 lines</t>
  </si>
  <si>
    <t>group was coming from Fort St. John. Said 6 hours drive away.</t>
  </si>
  <si>
    <t>did not answer question 3</t>
  </si>
  <si>
    <t>age</t>
  </si>
  <si>
    <t>caught by angler</t>
  </si>
  <si>
    <t>Aware of survey because they saw the poster.</t>
  </si>
  <si>
    <t>Aware of survey because other people told them about it.</t>
  </si>
  <si>
    <t>first time burbot fishing. Aware of study because of poster.</t>
  </si>
  <si>
    <t>angler was reluctant to share opinion on what others would do in terms of tag reporting, "i can't say what other people would/wouldn't do" etc. Answered reporting likelihood questions "I don’t know"</t>
  </si>
  <si>
    <t>angler idea was that when one registers for a fishing license, there is a notice about tagging programs and compulsory reporting of tagged fish. First time burbot fishing. Said 50% of people would report no-reward tags.</t>
  </si>
  <si>
    <t xml:space="preserve"> said they thought "2/3 of people" would report no-reward tags</t>
  </si>
  <si>
    <t>their answer to reporting likelihood of reward tags might have been a mistake and they meant to fill "very likely"</t>
  </si>
  <si>
    <t>angler was very adamant about the occurrence of "poaching" and non-adherence to burbot-fishing regulations. Has been fishing for 48 years!</t>
  </si>
  <si>
    <t>code- concerns</t>
  </si>
  <si>
    <t>none</t>
  </si>
  <si>
    <t>weather</t>
  </si>
  <si>
    <t>low or decreasing catch rates</t>
  </si>
  <si>
    <t>fish health</t>
  </si>
  <si>
    <t>overharvest or noncompliance with regulations</t>
  </si>
  <si>
    <t>code- changes</t>
  </si>
  <si>
    <t>fish size</t>
  </si>
  <si>
    <t>seasonal changes</t>
  </si>
  <si>
    <t>code- alternative tag-return methods</t>
  </si>
  <si>
    <t>online option</t>
  </si>
  <si>
    <t>email option</t>
  </si>
  <si>
    <t>compulsory reporting</t>
  </si>
  <si>
    <t>different incentives</t>
  </si>
  <si>
    <t>mobile app</t>
  </si>
  <si>
    <t>tag drop-box</t>
  </si>
  <si>
    <t>more advertisement of study</t>
  </si>
  <si>
    <t>clearer regulations</t>
  </si>
  <si>
    <t>only angler that said they thought higher reward amount would help</t>
  </si>
  <si>
    <t>code- catch location</t>
  </si>
  <si>
    <t>White Spruce</t>
  </si>
  <si>
    <t>Kettle Bay</t>
  </si>
  <si>
    <t>Balsam</t>
  </si>
  <si>
    <t>Black Spruce</t>
  </si>
  <si>
    <t>islands (not specified)</t>
  </si>
  <si>
    <t>mid-lake</t>
  </si>
  <si>
    <t>southeast corner</t>
  </si>
  <si>
    <t>Pine</t>
  </si>
  <si>
    <t>was fishing for 3 days. I believe the angler set line at 4pm, checked and re-set at 9pm each night, then pulled line finally before survey</t>
  </si>
  <si>
    <t>3 lines</t>
  </si>
  <si>
    <t>west bay</t>
  </si>
  <si>
    <t>jigging for 3 hrs</t>
  </si>
  <si>
    <t>day_type</t>
  </si>
  <si>
    <t>weekday</t>
  </si>
  <si>
    <t>weekend</t>
  </si>
  <si>
    <t>cpue</t>
  </si>
  <si>
    <t>No, but worry about the burbot because it is usually fished for food not sport, so burbot usually killed not released</t>
  </si>
  <si>
    <t>setline</t>
  </si>
  <si>
    <t>catch per fisher per day</t>
  </si>
  <si>
    <t>days</t>
  </si>
  <si>
    <t>fished x3 days WITH 4 LINES (6 total people)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</si>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</sst>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9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16" fontId="0" fillId="0" borderId="0" xfId="0" applyNumberFormat="1" applyAlignment="1">
      <alignment horizontal="right" wrapText="1"/>
    </xf>
    <xf numFmtId="20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3" fillId="3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5" borderId="0" xfId="0" applyFill="1"/>
    <xf numFmtId="0" fontId="0" fillId="13" borderId="0" xfId="0" applyFill="1"/>
    <xf numFmtId="0" fontId="0" fillId="12" borderId="0" xfId="0" applyFill="1" applyAlignment="1">
      <alignment horizontal="right" wrapText="1"/>
    </xf>
    <xf numFmtId="0" fontId="0" fillId="11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5" borderId="0" xfId="0" applyFill="1" applyAlignment="1">
      <alignment horizontal="right" wrapText="1"/>
    </xf>
    <xf numFmtId="0" fontId="0" fillId="9" borderId="0" xfId="0" applyFill="1" applyAlignment="1">
      <alignment horizontal="right" wrapText="1"/>
    </xf>
    <xf numFmtId="0" fontId="0" fillId="13" borderId="0" xfId="0" applyFill="1" applyAlignment="1">
      <alignment horizontal="right" wrapText="1"/>
    </xf>
    <xf numFmtId="0" fontId="0" fillId="14" borderId="0" xfId="0" applyFill="1" applyAlignment="1">
      <alignment horizontal="right" wrapText="1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20" fontId="0" fillId="8" borderId="0" xfId="0" applyNumberFormat="1" applyFill="1"/>
    <xf numFmtId="20" fontId="0" fillId="12" borderId="0" xfId="0" applyNumberFormat="1" applyFill="1"/>
    <xf numFmtId="0" fontId="2" fillId="0" borderId="0" xfId="0" applyFont="1"/>
    <xf numFmtId="0" fontId="3" fillId="0" borderId="0" xfId="0" applyFont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9">
    <dxf>
      <numFmt numFmtId="2" formatCode="0.00"/>
    </dxf>
    <dxf>
      <numFmt numFmtId="2" formatCode="0.00"/>
    </dxf>
    <dxf>
      <numFmt numFmtId="25" formatCode="h:mm"/>
    </dxf>
    <dxf>
      <numFmt numFmtId="25" formatCode="h:mm"/>
    </dxf>
    <dxf>
      <numFmt numFmtId="25" formatCode="h:mm"/>
    </dxf>
    <dxf>
      <numFmt numFmtId="25" formatCode="h:mm"/>
    </dxf>
    <dxf>
      <numFmt numFmtId="19" formatCode="m/d/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  <fill>
        <patternFill patternType="none">
          <bgColor auto="1"/>
        </patternFill>
      </fill>
    </dxf>
    <dxf>
      <numFmt numFmtId="25" formatCode="h:mm"/>
    </dxf>
    <dxf>
      <numFmt numFmtId="25" formatCode="h:mm"/>
      <fill>
        <patternFill patternType="none">
          <bgColor auto="1"/>
        </patternFill>
      </fill>
    </dxf>
    <dxf>
      <numFmt numFmtId="25" formatCode="h:mm"/>
    </dxf>
    <dxf>
      <numFmt numFmtId="25" formatCode="h:mm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5" formatCode="h:mm"/>
    </dxf>
    <dxf>
      <numFmt numFmtId="25" formatCode="h:mm"/>
      <fill>
        <patternFill patternType="none">
          <bgColor auto="1"/>
        </patternFill>
      </fill>
    </dxf>
    <dxf>
      <numFmt numFmtId="25" formatCode="h:mm"/>
    </dxf>
    <dxf>
      <numFmt numFmtId="25" formatCode="h:mm"/>
      <fill>
        <patternFill patternType="none">
          <bgColor auto="1"/>
        </patternFill>
      </fill>
    </dxf>
    <dxf>
      <numFmt numFmtId="19" formatCode="m/d/yy"/>
    </dxf>
    <dxf>
      <numFmt numFmtId="19" formatCode="m/d/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5" formatCode="h:mm"/>
    </dxf>
    <dxf>
      <numFmt numFmtId="25" formatCode="h:mm"/>
    </dxf>
    <dxf>
      <numFmt numFmtId="25" formatCode="h:mm"/>
    </dxf>
    <dxf>
      <numFmt numFmtId="25" formatCode="h:mm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0BBD8-1507-564B-89B8-CB3E1F9171D4}" name="Table2" displayName="Table2" ref="A1:AA40" totalsRowCount="1">
  <autoFilter ref="A1:AA39" xr:uid="{C540BBD8-1507-564B-89B8-CB3E1F9171D4}"/>
  <sortState xmlns:xlrd2="http://schemas.microsoft.com/office/spreadsheetml/2017/richdata2" ref="A2:AA39">
    <sortCondition ref="A1:A39"/>
  </sortState>
  <tableColumns count="27">
    <tableColumn id="1" xr3:uid="{62C2CAC9-3153-A644-BF40-5BCE151E81C1}" name="Survey number"/>
    <tableColumn id="2" xr3:uid="{6AE3F0B7-8503-DD4F-AE2B-69BED7500A80}" name="Date" dataDxfId="78" totalsRowDxfId="6"/>
    <tableColumn id="3" xr3:uid="{722710CF-200F-C74D-A65F-28BE646C6DAE}" name="Time" dataDxfId="77" totalsRowDxfId="5"/>
    <tableColumn id="24" xr3:uid="{DAD6C870-864B-9348-8629-D649A942A2B9}" name="day_type" dataDxfId="76" totalsRowDxfId="4"/>
    <tableColumn id="4" xr3:uid="{48DE4813-D487-E54B-B540-B6595DF1DFC5}" name="Angler code"/>
    <tableColumn id="5" xr3:uid="{3BA4CAF9-9204-6943-9240-308299AB8BF2}" name="No. in party"/>
    <tableColumn id="6" xr3:uid="{6366097B-5FF6-3547-8F4B-69FE14DB7490}" name="Fishing today Y/N"/>
    <tableColumn id="7" xr3:uid="{61C6A8FE-4226-8945-A3A5-78DD04907684}" name="Start time" dataDxfId="75" totalsRowDxfId="3"/>
    <tableColumn id="8" xr3:uid="{E9FAF127-45F5-6F4E-BA2F-9DEE94C28063}" name="End time" dataDxfId="74" totalsRowDxfId="2"/>
    <tableColumn id="22" xr3:uid="{94425A77-E0B5-A840-A45E-E00DEE8CFA7D}" name="sets" dataDxfId="73" totalsRowDxfId="1"/>
    <tableColumn id="27" xr3:uid="{4E700AFF-EEB2-894D-87DE-73841687D721}" name="days" dataDxfId="72" totalsRowDxfId="0"/>
    <tableColumn id="9" xr3:uid="{65B5F012-1FE3-3F4C-A863-3A8F429EF3C5}" name="Total hours" totalsRowFunction="custom">
      <totalsRowFormula>SUM(Table2[Total hours])</totalsRowFormula>
    </tableColumn>
    <tableColumn id="10" xr3:uid="{4381DFC1-F59A-C540-A584-F864D4BE95D6}" name="Burbot fishing Y/N" totalsRowFunction="custom">
      <totalsRowFormula>SUM(L4:L39)</totalsRowFormula>
    </tableColumn>
    <tableColumn id="11" xr3:uid="{915FC03C-37FC-194C-B4B8-4A1500C32C2E}" name="burbot caught" totalsRowFunction="custom">
      <totalsRowFormula>SUM(N2:N39)</totalsRowFormula>
    </tableColumn>
    <tableColumn id="25" xr3:uid="{59258C35-31BF-7540-932F-2DB6382C2508}" name="cpue" totalsRowFunction="custom" dataDxfId="71">
      <calculatedColumnFormula>Table2[[#This Row],[burbot caught]]/Table2[[#This Row],[Total hours]]</calculatedColumnFormula>
      <totalsRowFormula>AVERAGE(O2:O39)</totalsRowFormula>
    </tableColumn>
    <tableColumn id="12" xr3:uid="{088E72CF-8AED-A042-9A08-9BE91C255111}" name="burbot kept" totalsRowFunction="custom">
      <totalsRowFormula>SUM(Table2[burbot kept])</totalsRowFormula>
    </tableColumn>
    <tableColumn id="13" xr3:uid="{CB0563A4-F2B0-2840-9FC8-7071A07ECEE6}" name="burbot released"/>
    <tableColumn id="14" xr3:uid="{1FC8DA94-E52C-D447-A1AD-4DDA765A1E6C}" name="tagged burbot caught"/>
    <tableColumn id="15" xr3:uid="{67F8F84B-8483-2C46-BA27-4B946BF460A1}" name="Sample collected Y/N"/>
    <tableColumn id="16" xr3:uid="{8FF10455-8480-3248-BE92-F0206F0E89B1}" name="Gear"/>
    <tableColumn id="17" xr3:uid="{C656A1B6-B37C-7643-8E90-146547A51844}" name="Bait"/>
    <tableColumn id="21" xr3:uid="{F2B1C11B-0BD5-754B-A890-5C6AB18003AD}" name="Bait 1"/>
    <tableColumn id="20" xr3:uid="{22D2B50C-39E5-FF4A-A3B4-985BA6A26CD6}" name="Bait 2"/>
    <tableColumn id="18" xr3:uid="{50926E91-6E31-0B47-A2DA-09F25D20AFA3}" name="approx catch location"/>
    <tableColumn id="23" xr3:uid="{80A650E4-AD6B-2C45-AD2D-1B5B7DF1D73E}" name="code- catch location"/>
    <tableColumn id="19" xr3:uid="{C62DF604-6F21-FA48-B268-9E2955B4ED28}" name="Comment"/>
    <tableColumn id="26" xr3:uid="{B1330B64-FF0F-7C4A-A897-CE3BF3655AD2}" name="catch per fisher per day" totalsRowFunction="custom" dataDxfId="70">
      <calculatedColumnFormula>Table2[[#This Row],[burbot caught]]/(Table2[[#This Row],[No. in party]]*Table2[[#This Row],[sets]])</calculatedColumnFormula>
      <totalsRowFormula>AVERAGE(AA2:AA36)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A5156E-FEA1-6B41-B966-CEB2894E21F7}" name="Table3" displayName="Table3" ref="A1:J35" totalsRowShown="0" dataDxfId="69">
  <autoFilter ref="A1:J35" xr:uid="{C5A5156E-FEA1-6B41-B966-CEB2894E21F7}"/>
  <sortState xmlns:xlrd2="http://schemas.microsoft.com/office/spreadsheetml/2017/richdata2" ref="A2:J35">
    <sortCondition ref="B1:B35"/>
  </sortState>
  <tableColumns count="10">
    <tableColumn id="1" xr3:uid="{F12E2B7F-46E9-4B4E-9A16-975B7B2EF636}" name="Angler code" dataDxfId="68"/>
    <tableColumn id="9" xr3:uid="{9B7559F4-0575-E54D-A427-FE948DFD2F90}" name="About how often do you fish for burbot at Carp Lake each year?2" dataDxfId="67"/>
    <tableColumn id="2" xr3:uid="{A45CD46D-EAAC-9249-A57A-2623E82AC500}" name="At what time of day do you typically set your line?" dataDxfId="66"/>
    <tableColumn id="3" xr3:uid="{061508CC-6A65-0A46-8A48-93679B5DEFD3}" name="At what time of day do you typically check your line?" dataDxfId="65"/>
    <tableColumn id="4" xr3:uid="{49D8A67C-EC7E-954C-BAF7-701D87D79BDE}" name="Before we began this survey, were you aware there is a burbot-tagging program happening at Carp Lake?" dataDxfId="64"/>
    <tableColumn id="5" xr3:uid="{83430657-FD00-974A-9413-CC7CCFC51844}" name="Likeliness to report - no reward" dataDxfId="63"/>
    <tableColumn id="6" xr3:uid="{A153E7F6-B870-1844-BA9B-D54A69D0EA19}" name="Likeliness to report - $100 reward" dataDxfId="62"/>
    <tableColumn id="7" xr3:uid="{F4B4FD61-A6C0-8245-8A87-DE751E8AAFBD}" name="alternatives to report tagged burbot?" dataDxfId="61"/>
    <tableColumn id="10" xr3:uid="{7457012B-5A68-3B41-8C8E-E4F982D8469B}" name="code- alternative tag-return methods" dataDxfId="60"/>
    <tableColumn id="8" xr3:uid="{45FE7BDA-7F58-7E4A-BC2F-A11A25CA0552}" name="comment" dataDxfId="5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DECAD2-3546-4649-A910-AE1DCBB81D42}" name="Table5" displayName="Table5" ref="A1:G35" totalsRowShown="0">
  <autoFilter ref="A1:G35" xr:uid="{53DECAD2-3546-4649-A910-AE1DCBB81D42}"/>
  <sortState xmlns:xlrd2="http://schemas.microsoft.com/office/spreadsheetml/2017/richdata2" ref="A2:G35">
    <sortCondition ref="A1:A35"/>
  </sortState>
  <tableColumns count="7">
    <tableColumn id="1" xr3:uid="{BBAEAD6A-7CA3-0942-964F-CD0E55631CBF}" name="Angler code"/>
    <tableColumn id="2" xr3:uid="{B9734A1C-D29B-F54E-88FD-FD471AA86AE2}" name="How long have you been fishing for burbot at Carp Lake?"/>
    <tableColumn id="3" xr3:uid="{844430CA-5880-CB4D-8537-1EB8070C03CA}" name="Have you heard concerns about fish or fishing at Carp Lake?"/>
    <tableColumn id="6" xr3:uid="{5D6A9405-089F-DF47-9D46-4C87C19F96FF}" name="code- concerns"/>
    <tableColumn id="4" xr3:uid="{0358D660-75F6-4D45-B9E4-1D16B2D03A5A}" name="Have you noticed any changes in burbot during the time you’ve been fishing at Carp Lake?"/>
    <tableColumn id="7" xr3:uid="{8B98334C-5223-6345-8BD7-F834B585BF2B}" name="code- changes"/>
    <tableColumn id="5" xr3:uid="{871E4F3A-BF10-2E44-8044-87D0D1AAFE2A}" name="comm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CFA4D2-399D-CD4F-8E46-9275229BF27B}" name="Table7" displayName="Table7" ref="A1:H35" totalsRowShown="0">
  <autoFilter ref="A1:H35" xr:uid="{93CFA4D2-399D-CD4F-8E46-9275229BF27B}"/>
  <sortState xmlns:xlrd2="http://schemas.microsoft.com/office/spreadsheetml/2017/richdata2" ref="A2:H35">
    <sortCondition ref="C1:C35"/>
  </sortState>
  <tableColumns count="8">
    <tableColumn id="1" xr3:uid="{326154F7-FF57-524B-8D36-4D18A7C435EF}" name="Angler code"/>
    <tableColumn id="2" xr3:uid="{CB9966CC-C364-7E4E-99DB-F6BC95F3B058}" name="Which age range do you belong to?"/>
    <tableColumn id="3" xr3:uid="{B834DDFD-8D8F-2142-AA16-3875B20A06B9}" name="About how long does it take you to drive to Carp Lake from place of residence?"/>
    <tableColumn id="4" xr3:uid="{41276AC9-4426-B142-914E-87EB7800FB77}" name="Are you a member of any of the following Indigenous communities?"/>
    <tableColumn id="5" xr3:uid="{D90E0C08-C4D8-2341-B7EB-FCA70BBA1DDF}" name="What gender do you identify as? (one respondent per party)"/>
    <tableColumn id="6" xr3:uid="{E13A3DE6-5F25-3C45-A683-995833CC8AD3}" name="Highest level of education completed"/>
    <tableColumn id="7" xr3:uid="{53D61E03-4B7A-3B48-9315-DF4C1B640141}" name="What is your estimated annual household income?"/>
    <tableColumn id="8" xr3:uid="{9647EDA5-5BC8-E24F-835C-468A02EFB078}" name="comm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F62AB5-7E58-1840-8437-6ACD9850F9B9}" name="Table1" displayName="Table1" ref="A1:M57" totalsRowShown="0">
  <autoFilter ref="A1:M57" xr:uid="{56F62AB5-7E58-1840-8437-6ACD9850F9B9}"/>
  <sortState xmlns:xlrd2="http://schemas.microsoft.com/office/spreadsheetml/2017/richdata2" ref="A2:M57">
    <sortCondition ref="E1:E57"/>
  </sortState>
  <tableColumns count="13">
    <tableColumn id="1" xr3:uid="{7D187FB2-4C68-ED40-B874-1AF13F10871F}" name="Burbot ID"/>
    <tableColumn id="2" xr3:uid="{1DF18B20-C3C8-9044-BD0B-AE58762B845D}" name="Angler Code"/>
    <tableColumn id="3" xr3:uid="{5B204CB6-0CF0-7A49-B7DA-F34BD6BD1898}" name="Date caught"/>
    <tableColumn id="4" xr3:uid="{C1E78550-03FB-2B4A-89A0-A918FC949AD7}" name="Date sampled" dataDxfId="58"/>
    <tableColumn id="5" xr3:uid="{032B33D2-2AA7-BB4B-BF93-BB86AAF640C3}" name="Total Length (cm)"/>
    <tableColumn id="6" xr3:uid="{1CA6540E-80CE-9748-B671-B5A731E2DEB9}" name="Weight (g)"/>
    <tableColumn id="7" xr3:uid="{EE967F50-35CB-F042-85E6-20C46B87161A}" name="Otoliths collected Y/N"/>
    <tableColumn id="13" xr3:uid="{A05C2019-BE13-1149-B03F-CE54A9DE762C}" name="age"/>
    <tableColumn id="8" xr3:uid="{5EBF0277-457B-0142-8D02-C6255B9DC47B}" name="Fate"/>
    <tableColumn id="9" xr3:uid="{932768D3-5A76-AF44-9969-94613068C619}" name="Tagged Y/N"/>
    <tableColumn id="10" xr3:uid="{C9E72E6F-79DB-3D4F-B2B7-017CC25A0E18}" name="Floy tag number"/>
    <tableColumn id="12" xr3:uid="{61B64EF0-DD03-4E4A-AC9F-27FA90939C86}" name="Location"/>
    <tableColumn id="11" xr3:uid="{EC466707-C3AC-6341-8DFB-C36BD38F7F24}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C50F3-759F-AE4F-9AC1-CA2C3EBCF1B1}" name="Table22" displayName="Table22" ref="A1:AQ39" totalsRowShown="0" headerRowDxfId="57" dataDxfId="56">
  <autoFilter ref="A1:AQ39" xr:uid="{56BC50F3-759F-AE4F-9AC1-CA2C3EBCF1B1}"/>
  <sortState xmlns:xlrd2="http://schemas.microsoft.com/office/spreadsheetml/2017/richdata2" ref="A2:AQ39">
    <sortCondition ref="Y1:Y39"/>
  </sortState>
  <tableColumns count="43">
    <tableColumn id="1" xr3:uid="{BD45E110-0BD3-774B-BFA8-6BBA255B0B6B}" name="Survey number" dataDxfId="55"/>
    <tableColumn id="2" xr3:uid="{0FDF510B-17CA-BC47-AD97-27C13C5F789D}" name="Date" dataDxfId="54" totalsRowDxfId="53"/>
    <tableColumn id="3" xr3:uid="{19DB91E6-4F8D-064C-9B74-544200FE3A64}" name="Time" dataDxfId="52" totalsRowDxfId="51"/>
    <tableColumn id="24" xr3:uid="{480E4F47-218E-B841-9022-DBAE44960AF8}" name="day_type" dataDxfId="50" totalsRowDxfId="49"/>
    <tableColumn id="4" xr3:uid="{4AD12087-737A-0545-94F3-A75A736A29F0}" name="Angler code" dataDxfId="48"/>
    <tableColumn id="5" xr3:uid="{60EA7B84-1F8C-CB45-B993-926E86773D77}" name="No. in party" dataDxfId="47"/>
    <tableColumn id="6" xr3:uid="{840269B6-4F2C-7342-994D-8068A5806147}" name="Fishing today Y/N" dataDxfId="46"/>
    <tableColumn id="7" xr3:uid="{AFDF9224-FE03-C345-A864-EDC703FF4AA0}" name="Start time" dataDxfId="45" totalsRowDxfId="44"/>
    <tableColumn id="8" xr3:uid="{7CF459BD-2B0D-F248-984D-306FE8917803}" name="End time" dataDxfId="43" totalsRowDxfId="42"/>
    <tableColumn id="22" xr3:uid="{B2FA8CFD-F38B-7643-AA8D-93EC47772CB7}" name="number of sets" dataDxfId="41" totalsRowDxfId="40"/>
    <tableColumn id="9" xr3:uid="{BE454FEA-DA14-8449-BF81-BD70D2FFAFF8}" name="Total hours" dataDxfId="39"/>
    <tableColumn id="10" xr3:uid="{1A573607-4F17-8C4F-970A-8B079B1C9293}" name="Burbot fishing Y/N" dataDxfId="38"/>
    <tableColumn id="11" xr3:uid="{D9861BB6-C6F1-F94D-9325-7AF88F38DD3E}" name="burbot caught" dataDxfId="37"/>
    <tableColumn id="43" xr3:uid="{03FAB057-6729-A949-9009-9A1ED306A5B9}" name="cpue" dataDxfId="36">
      <calculatedColumnFormula>Table22[[#This Row],[burbot caught]]/Table22[[#This Row],[Total hours]]</calculatedColumnFormula>
    </tableColumn>
    <tableColumn id="12" xr3:uid="{A2FC3414-2E82-2049-8DD4-6849E1612783}" name="burbot kept" dataDxfId="35"/>
    <tableColumn id="13" xr3:uid="{AE980911-59ED-7E48-8FF0-2DC702601ED7}" name="burbot released" dataDxfId="34"/>
    <tableColumn id="14" xr3:uid="{30EC2AB5-C67B-6043-83D8-7746A418DE02}" name="tagged burbot caught" dataDxfId="33"/>
    <tableColumn id="15" xr3:uid="{48B25177-3A1B-AB4F-A37A-32AA4B42C2E4}" name="Sample collected Y/N" dataDxfId="32"/>
    <tableColumn id="16" xr3:uid="{17C70F08-BB3C-7048-A7ED-2A6833C2792D}" name="Gear" dataDxfId="31"/>
    <tableColumn id="17" xr3:uid="{EF7C4DD6-9585-C648-B4E1-C68373A1EBB2}" name="Bait" dataDxfId="30"/>
    <tableColumn id="21" xr3:uid="{DB302AF9-11CD-F843-9881-51E64BB8AA85}" name="Bait 1" dataDxfId="29"/>
    <tableColumn id="20" xr3:uid="{F503CFBD-B50B-A944-8685-A3773CE85F59}" name="Bait 2" dataDxfId="28"/>
    <tableColumn id="18" xr3:uid="{154DC025-17C6-A749-8A1C-3F87E9B9CADF}" name="approx catch location" dataDxfId="27"/>
    <tableColumn id="23" xr3:uid="{3BFDC802-7BCA-E94C-9905-9C94C1AC3E31}" name="code- catch location" dataDxfId="26"/>
    <tableColumn id="19" xr3:uid="{68DC94AE-DF49-6D4B-A459-6B5C854B5F93}" name="About how often do you fish for burbot at Carp Lake each year?2" dataDxfId="25"/>
    <tableColumn id="25" xr3:uid="{0AEC50CD-12D0-F94D-A9E2-AFFE00A51511}" name="At what time of day do you typically set your line?" dataDxfId="24"/>
    <tableColumn id="26" xr3:uid="{0672DE7D-DEBB-6B47-A23D-29E5FB94B929}" name="At what time of day do you typically check your line?" dataDxfId="23"/>
    <tableColumn id="27" xr3:uid="{61126CB4-327C-6842-9E9F-ED9F2FBE323F}" name="Before we began this survey, were you aware there is a burbot-tagging program happening at Carp Lake?" dataDxfId="22"/>
    <tableColumn id="28" xr3:uid="{F26F66A4-AB36-4941-9611-59F44A675EB2}" name="Likeliness to report - no reward" dataDxfId="21"/>
    <tableColumn id="29" xr3:uid="{946ADE97-A081-684F-BEA2-836913E5778A}" name="Likeliness to report - $100 reward" dataDxfId="20"/>
    <tableColumn id="30" xr3:uid="{A4AB32DE-B80A-7E40-AD7C-68CC140E3B11}" name="alternatives to report tagged burbot?" dataDxfId="19"/>
    <tableColumn id="31" xr3:uid="{756839EA-B8CA-064B-8D1E-12A6E171A024}" name="code- alternative tag-return methods" dataDxfId="18"/>
    <tableColumn id="32" xr3:uid="{03D9ACB8-7DA7-D645-960A-5C1F886D1846}" name="How long have you been fishing for burbot at Carp Lake?" dataDxfId="17"/>
    <tableColumn id="33" xr3:uid="{D7CA58A3-B342-2847-8C5A-4614D98B6993}" name="Have you heard concerns about fish or fishing at Carp Lake?" dataDxfId="16"/>
    <tableColumn id="34" xr3:uid="{A8590B19-A9EC-A34A-BDD7-BD61EAF37756}" name="code- concerns" dataDxfId="15"/>
    <tableColumn id="35" xr3:uid="{D5C6B45B-62B1-B545-B55A-8374E5B5D8C4}" name="Have you noticed any changes in burbot during the time you’ve been fishing at Carp Lake?" dataDxfId="14"/>
    <tableColumn id="36" xr3:uid="{9834477F-F1EF-D649-834A-560DFF659AA5}" name="code- changes" dataDxfId="13"/>
    <tableColumn id="37" xr3:uid="{8E00CEA6-FB31-3046-9A87-85AD4BD24199}" name="Which age range do you belong to?" dataDxfId="12"/>
    <tableColumn id="38" xr3:uid="{B32015BD-9001-2248-8741-D2672B5895F7}" name="About how long does it take you to drive to Carp Lake from place of residence?" dataDxfId="11"/>
    <tableColumn id="39" xr3:uid="{F3BC5E2B-8EE4-C942-BD98-9B0E871BA0F7}" name="Are you a member of any of the following Indigenous communities?" dataDxfId="10"/>
    <tableColumn id="40" xr3:uid="{0F77F6E6-FF76-9746-9A4A-F2D20F9ABFCB}" name="What gender do you identify as? (one respondent per party)" dataDxfId="9"/>
    <tableColumn id="41" xr3:uid="{4955ABE0-6D78-874E-95C6-50891CCD4408}" name="Highest level of education completed" dataDxfId="8"/>
    <tableColumn id="42" xr3:uid="{EE882771-6EF2-1E46-A090-2C8EC2B00B0B}" name="What is your estimated annual household income?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9695-1641-4645-8EEE-FD8C34E539C4}">
  <dimension ref="A1:AA49"/>
  <sheetViews>
    <sheetView tabSelected="1" workbookViewId="0">
      <selection activeCell="K6" sqref="K6"/>
    </sheetView>
  </sheetViews>
  <sheetFormatPr baseColWidth="10" defaultRowHeight="16" x14ac:dyDescent="0.2"/>
  <cols>
    <col min="1" max="1" width="11.5" customWidth="1"/>
    <col min="5" max="5" width="13.1640625" customWidth="1"/>
    <col min="6" max="6" width="10.1640625" customWidth="1"/>
    <col min="7" max="7" width="10.6640625" customWidth="1"/>
    <col min="8" max="8" width="11.83203125" customWidth="1"/>
    <col min="9" max="9" width="11.83203125" bestFit="1" customWidth="1"/>
    <col min="10" max="11" width="11.83203125" style="8" customWidth="1"/>
    <col min="12" max="12" width="12.6640625" customWidth="1"/>
    <col min="13" max="13" width="13" customWidth="1"/>
    <col min="14" max="15" width="13.6640625" customWidth="1"/>
    <col min="16" max="16" width="10.83203125" customWidth="1"/>
    <col min="17" max="17" width="11.83203125" customWidth="1"/>
    <col min="18" max="18" width="14" customWidth="1"/>
    <col min="19" max="19" width="13.83203125" customWidth="1"/>
    <col min="21" max="21" width="16.6640625" customWidth="1"/>
    <col min="24" max="24" width="26.83203125" customWidth="1"/>
    <col min="25" max="25" width="20.83203125" customWidth="1"/>
    <col min="27" max="27" width="26.83203125" customWidth="1"/>
  </cols>
  <sheetData>
    <row r="1" spans="1:27" x14ac:dyDescent="0.2">
      <c r="A1" t="s">
        <v>0</v>
      </c>
      <c r="B1" t="s">
        <v>1</v>
      </c>
      <c r="C1" t="s">
        <v>3</v>
      </c>
      <c r="D1" t="s">
        <v>413</v>
      </c>
      <c r="E1" t="s">
        <v>2</v>
      </c>
      <c r="F1" t="s">
        <v>4</v>
      </c>
      <c r="G1" t="s">
        <v>65</v>
      </c>
      <c r="H1" t="s">
        <v>5</v>
      </c>
      <c r="I1" t="s">
        <v>6</v>
      </c>
      <c r="J1" s="8" t="s">
        <v>422</v>
      </c>
      <c r="K1" s="8" t="s">
        <v>420</v>
      </c>
      <c r="L1" t="s">
        <v>7</v>
      </c>
      <c r="M1" t="s">
        <v>8</v>
      </c>
      <c r="N1" t="s">
        <v>15</v>
      </c>
      <c r="O1" t="s">
        <v>416</v>
      </c>
      <c r="P1" t="s">
        <v>16</v>
      </c>
      <c r="Q1" t="s">
        <v>17</v>
      </c>
      <c r="R1" t="s">
        <v>18</v>
      </c>
      <c r="S1" t="s">
        <v>9</v>
      </c>
      <c r="T1" t="s">
        <v>10</v>
      </c>
      <c r="U1" t="s">
        <v>11</v>
      </c>
      <c r="V1" t="s">
        <v>213</v>
      </c>
      <c r="W1" t="s">
        <v>206</v>
      </c>
      <c r="X1" t="s">
        <v>21</v>
      </c>
      <c r="Y1" t="s">
        <v>400</v>
      </c>
      <c r="Z1" t="s">
        <v>48</v>
      </c>
      <c r="AA1" t="s">
        <v>419</v>
      </c>
    </row>
    <row r="2" spans="1:27" ht="27" customHeight="1" x14ac:dyDescent="0.2">
      <c r="A2">
        <v>1</v>
      </c>
      <c r="B2" s="1">
        <v>45100</v>
      </c>
      <c r="C2" s="2">
        <v>0.48402777777777778</v>
      </c>
      <c r="D2" s="32" t="s">
        <v>414</v>
      </c>
      <c r="E2" t="s">
        <v>13</v>
      </c>
      <c r="F2">
        <v>2</v>
      </c>
      <c r="G2" t="s">
        <v>14</v>
      </c>
      <c r="H2" s="2">
        <v>0.25</v>
      </c>
      <c r="I2" s="2">
        <v>0.5</v>
      </c>
      <c r="J2" s="8">
        <v>6</v>
      </c>
      <c r="L2" s="9">
        <v>24</v>
      </c>
      <c r="M2" t="s">
        <v>14</v>
      </c>
      <c r="N2">
        <v>2</v>
      </c>
      <c r="O2">
        <f>Table2[[#This Row],[burbot caught]]/Table2[[#This Row],[Total hours]]</f>
        <v>8.3333333333333329E-2</v>
      </c>
      <c r="P2">
        <v>2</v>
      </c>
      <c r="Q2">
        <v>0</v>
      </c>
      <c r="R2">
        <v>0</v>
      </c>
      <c r="S2" t="s">
        <v>14</v>
      </c>
      <c r="T2" s="6" t="s">
        <v>19</v>
      </c>
      <c r="U2" t="s">
        <v>219</v>
      </c>
      <c r="V2" t="s">
        <v>20</v>
      </c>
      <c r="W2" t="s">
        <v>46</v>
      </c>
      <c r="X2" t="s">
        <v>285</v>
      </c>
      <c r="Y2" s="6" t="s">
        <v>406</v>
      </c>
      <c r="Z2" t="s">
        <v>368</v>
      </c>
      <c r="AA2">
        <f>Table2[[#This Row],[burbot caught]]/(Table2[[#This Row],[No. in party]]*Table2[[#This Row],[sets]])</f>
        <v>0.16666666666666666</v>
      </c>
    </row>
    <row r="3" spans="1:27" ht="27" customHeight="1" x14ac:dyDescent="0.2">
      <c r="A3">
        <v>2</v>
      </c>
      <c r="B3" s="1">
        <v>45101</v>
      </c>
      <c r="C3" s="2">
        <v>0.63194444444444442</v>
      </c>
      <c r="D3" s="33" t="s">
        <v>415</v>
      </c>
      <c r="E3" t="s">
        <v>22</v>
      </c>
      <c r="F3">
        <v>10</v>
      </c>
      <c r="G3" t="s">
        <v>14</v>
      </c>
      <c r="H3" s="2">
        <v>0.5</v>
      </c>
      <c r="I3" s="2">
        <v>0.83333333333333337</v>
      </c>
      <c r="J3" s="8">
        <v>2</v>
      </c>
      <c r="K3" s="8">
        <v>1</v>
      </c>
      <c r="L3" s="9">
        <f>8*6</f>
        <v>48</v>
      </c>
      <c r="M3" t="s">
        <v>14</v>
      </c>
      <c r="N3">
        <v>2</v>
      </c>
      <c r="O3">
        <f>Table2[[#This Row],[burbot caught]]/Table2[[#This Row],[Total hours]]</f>
        <v>4.1666666666666664E-2</v>
      </c>
      <c r="P3">
        <v>2</v>
      </c>
      <c r="Q3">
        <v>0</v>
      </c>
      <c r="R3">
        <v>0</v>
      </c>
      <c r="S3" t="s">
        <v>14</v>
      </c>
      <c r="T3" s="6" t="s">
        <v>19</v>
      </c>
      <c r="U3" t="s">
        <v>220</v>
      </c>
      <c r="V3" t="s">
        <v>23</v>
      </c>
      <c r="W3" t="s">
        <v>46</v>
      </c>
      <c r="X3" t="s">
        <v>286</v>
      </c>
      <c r="Y3" s="10" t="s">
        <v>401</v>
      </c>
      <c r="AA3">
        <f>Table2[[#This Row],[burbot caught]]/(Table2[[#This Row],[No. in party]]*Table2[[#This Row],[sets]])</f>
        <v>0.1</v>
      </c>
    </row>
    <row r="4" spans="1:27" ht="27" customHeight="1" x14ac:dyDescent="0.2">
      <c r="A4">
        <v>3</v>
      </c>
      <c r="B4" s="1">
        <v>45101</v>
      </c>
      <c r="C4" s="2">
        <v>0.66666666666666663</v>
      </c>
      <c r="D4" s="33" t="s">
        <v>415</v>
      </c>
      <c r="E4" t="s">
        <v>13</v>
      </c>
      <c r="F4">
        <v>2</v>
      </c>
      <c r="G4" t="s">
        <v>14</v>
      </c>
      <c r="H4" s="2">
        <v>0.375</v>
      </c>
      <c r="I4" s="2">
        <v>0.625</v>
      </c>
      <c r="J4" s="8">
        <v>1</v>
      </c>
      <c r="L4" s="9">
        <v>12</v>
      </c>
      <c r="M4" t="s">
        <v>14</v>
      </c>
      <c r="N4">
        <v>2</v>
      </c>
      <c r="O4">
        <f>Table2[[#This Row],[burbot caught]]/Table2[[#This Row],[Total hours]]</f>
        <v>0.16666666666666666</v>
      </c>
      <c r="P4">
        <v>2</v>
      </c>
      <c r="Q4">
        <v>0</v>
      </c>
      <c r="R4">
        <v>0</v>
      </c>
      <c r="S4" t="s">
        <v>14</v>
      </c>
      <c r="T4" s="6" t="s">
        <v>19</v>
      </c>
      <c r="U4" t="s">
        <v>219</v>
      </c>
      <c r="V4" t="s">
        <v>20</v>
      </c>
      <c r="W4" t="s">
        <v>46</v>
      </c>
      <c r="X4" t="s">
        <v>285</v>
      </c>
      <c r="Y4" s="6" t="s">
        <v>406</v>
      </c>
      <c r="AA4">
        <f>Table2[[#This Row],[burbot caught]]/(Table2[[#This Row],[No. in party]]*Table2[[#This Row],[sets]])</f>
        <v>1</v>
      </c>
    </row>
    <row r="5" spans="1:27" ht="27" customHeight="1" x14ac:dyDescent="0.2">
      <c r="A5">
        <v>4</v>
      </c>
      <c r="B5" s="1">
        <v>45102</v>
      </c>
      <c r="C5" s="2">
        <v>0.42499999999999999</v>
      </c>
      <c r="D5" s="33" t="s">
        <v>415</v>
      </c>
      <c r="E5" t="s">
        <v>25</v>
      </c>
      <c r="F5">
        <v>2</v>
      </c>
      <c r="G5" t="s">
        <v>14</v>
      </c>
      <c r="H5" s="2">
        <v>0.91666666666666663</v>
      </c>
      <c r="I5" s="2">
        <v>0.41666666666666669</v>
      </c>
      <c r="J5" s="8">
        <v>1</v>
      </c>
      <c r="L5" s="9">
        <v>12</v>
      </c>
      <c r="M5" t="s">
        <v>14</v>
      </c>
      <c r="N5">
        <v>2</v>
      </c>
      <c r="O5">
        <f>Table2[[#This Row],[burbot caught]]/Table2[[#This Row],[Total hours]]</f>
        <v>0.16666666666666666</v>
      </c>
      <c r="P5">
        <v>2</v>
      </c>
      <c r="Q5">
        <v>0</v>
      </c>
      <c r="R5">
        <v>1</v>
      </c>
      <c r="S5" t="s">
        <v>14</v>
      </c>
      <c r="T5" s="6" t="s">
        <v>19</v>
      </c>
      <c r="U5" t="s">
        <v>212</v>
      </c>
      <c r="V5" t="s">
        <v>207</v>
      </c>
      <c r="W5" t="s">
        <v>208</v>
      </c>
      <c r="X5" t="s">
        <v>26</v>
      </c>
      <c r="Y5" s="17" t="s">
        <v>402</v>
      </c>
      <c r="AA5">
        <f>Table2[[#This Row],[burbot caught]]/(Table2[[#This Row],[No. in party]]*Table2[[#This Row],[sets]])</f>
        <v>1</v>
      </c>
    </row>
    <row r="6" spans="1:27" ht="27" customHeight="1" x14ac:dyDescent="0.2">
      <c r="A6">
        <v>5</v>
      </c>
      <c r="B6" s="1">
        <v>45102</v>
      </c>
      <c r="C6" s="2">
        <v>0.44375000000000003</v>
      </c>
      <c r="D6" s="33" t="s">
        <v>415</v>
      </c>
      <c r="E6" t="s">
        <v>27</v>
      </c>
      <c r="F6">
        <v>2</v>
      </c>
      <c r="G6" t="s">
        <v>14</v>
      </c>
      <c r="H6" s="2" t="s">
        <v>28</v>
      </c>
      <c r="I6" s="2" t="s">
        <v>29</v>
      </c>
      <c r="J6" s="8">
        <v>4</v>
      </c>
      <c r="K6" s="8">
        <v>2</v>
      </c>
      <c r="L6" s="9">
        <f>48*2</f>
        <v>96</v>
      </c>
      <c r="M6" t="s">
        <v>14</v>
      </c>
      <c r="N6">
        <v>1</v>
      </c>
      <c r="O6">
        <f>Table2[[#This Row],[burbot caught]]/Table2[[#This Row],[Total hours]]</f>
        <v>1.0416666666666666E-2</v>
      </c>
      <c r="P6">
        <v>1</v>
      </c>
      <c r="Q6">
        <v>0</v>
      </c>
      <c r="R6">
        <v>0</v>
      </c>
      <c r="S6" t="s">
        <v>30</v>
      </c>
      <c r="T6" s="6" t="s">
        <v>19</v>
      </c>
      <c r="U6" t="s">
        <v>214</v>
      </c>
      <c r="V6" t="s">
        <v>129</v>
      </c>
      <c r="W6" t="s">
        <v>209</v>
      </c>
      <c r="X6" t="s">
        <v>287</v>
      </c>
      <c r="Y6" s="10" t="s">
        <v>401</v>
      </c>
      <c r="AA6">
        <f>Table2[[#This Row],[burbot caught]]/(Table2[[#This Row],[No. in party]]*Table2[[#This Row],[sets]])</f>
        <v>0.125</v>
      </c>
    </row>
    <row r="7" spans="1:27" ht="27" customHeight="1" x14ac:dyDescent="0.2">
      <c r="A7">
        <v>6</v>
      </c>
      <c r="B7" s="1">
        <v>45102</v>
      </c>
      <c r="C7" s="2">
        <v>0.5625</v>
      </c>
      <c r="D7" s="33" t="s">
        <v>415</v>
      </c>
      <c r="E7" t="s">
        <v>31</v>
      </c>
      <c r="F7">
        <v>2</v>
      </c>
      <c r="G7" t="s">
        <v>14</v>
      </c>
      <c r="H7" s="2" t="s">
        <v>32</v>
      </c>
      <c r="I7" s="2" t="s">
        <v>33</v>
      </c>
      <c r="J7" s="8">
        <v>3</v>
      </c>
      <c r="L7" s="9">
        <v>64</v>
      </c>
      <c r="M7" t="s">
        <v>14</v>
      </c>
      <c r="N7">
        <v>3</v>
      </c>
      <c r="O7">
        <f>Table2[[#This Row],[burbot caught]]/Table2[[#This Row],[Total hours]]</f>
        <v>4.6875E-2</v>
      </c>
      <c r="P7">
        <v>3</v>
      </c>
      <c r="Q7">
        <v>0</v>
      </c>
      <c r="R7">
        <v>0</v>
      </c>
      <c r="S7" t="s">
        <v>14</v>
      </c>
      <c r="T7" s="7" t="s">
        <v>34</v>
      </c>
      <c r="U7" t="s">
        <v>215</v>
      </c>
      <c r="V7" t="s">
        <v>35</v>
      </c>
      <c r="W7" t="s">
        <v>46</v>
      </c>
      <c r="X7" t="s">
        <v>288</v>
      </c>
      <c r="Y7" s="19" t="s">
        <v>403</v>
      </c>
      <c r="Z7" t="s">
        <v>412</v>
      </c>
      <c r="AA7">
        <f>Table2[[#This Row],[burbot caught]]/(Table2[[#This Row],[No. in party]]*Table2[[#This Row],[sets]])</f>
        <v>0.5</v>
      </c>
    </row>
    <row r="8" spans="1:27" ht="27" customHeight="1" x14ac:dyDescent="0.2">
      <c r="A8">
        <v>7</v>
      </c>
      <c r="B8" s="1">
        <v>45102</v>
      </c>
      <c r="C8" s="2">
        <v>0.59375</v>
      </c>
      <c r="D8" s="33" t="s">
        <v>415</v>
      </c>
      <c r="E8" t="s">
        <v>37</v>
      </c>
      <c r="F8">
        <v>2</v>
      </c>
      <c r="G8" t="s">
        <v>14</v>
      </c>
      <c r="H8" s="2">
        <v>0.66666666666666663</v>
      </c>
      <c r="I8" s="2">
        <v>0.875</v>
      </c>
      <c r="J8" s="8">
        <v>3</v>
      </c>
      <c r="L8" s="9">
        <v>46</v>
      </c>
      <c r="M8" t="s">
        <v>14</v>
      </c>
      <c r="N8">
        <v>7</v>
      </c>
      <c r="O8">
        <f>Table2[[#This Row],[burbot caught]]/Table2[[#This Row],[Total hours]]</f>
        <v>0.15217391304347827</v>
      </c>
      <c r="P8">
        <v>6</v>
      </c>
      <c r="Q8">
        <v>1</v>
      </c>
      <c r="R8">
        <v>1</v>
      </c>
      <c r="S8" t="s">
        <v>30</v>
      </c>
      <c r="T8" s="6" t="s">
        <v>19</v>
      </c>
      <c r="U8" t="s">
        <v>216</v>
      </c>
      <c r="V8" t="s">
        <v>210</v>
      </c>
      <c r="W8" t="s">
        <v>211</v>
      </c>
      <c r="X8" t="s">
        <v>286</v>
      </c>
      <c r="Y8" s="10" t="s">
        <v>401</v>
      </c>
      <c r="Z8" t="s">
        <v>409</v>
      </c>
      <c r="AA8">
        <f>Table2[[#This Row],[burbot caught]]/(Table2[[#This Row],[No. in party]]*Table2[[#This Row],[sets]])</f>
        <v>1.1666666666666667</v>
      </c>
    </row>
    <row r="9" spans="1:27" ht="27" customHeight="1" x14ac:dyDescent="0.2">
      <c r="A9">
        <v>8</v>
      </c>
      <c r="B9" s="1">
        <v>45108</v>
      </c>
      <c r="C9" s="2">
        <v>0.38541666666666669</v>
      </c>
      <c r="D9" s="33" t="s">
        <v>415</v>
      </c>
      <c r="E9" t="s">
        <v>38</v>
      </c>
      <c r="F9">
        <v>2</v>
      </c>
      <c r="G9" t="s">
        <v>14</v>
      </c>
      <c r="H9" s="2">
        <v>0.85416666666666663</v>
      </c>
      <c r="I9" s="2">
        <v>0.35416666666666669</v>
      </c>
      <c r="J9" s="8">
        <v>1</v>
      </c>
      <c r="L9" s="9">
        <v>24</v>
      </c>
      <c r="M9" t="s">
        <v>14</v>
      </c>
      <c r="N9">
        <v>1</v>
      </c>
      <c r="O9">
        <f>Table2[[#This Row],[burbot caught]]/Table2[[#This Row],[Total hours]]</f>
        <v>4.1666666666666664E-2</v>
      </c>
      <c r="P9">
        <v>1</v>
      </c>
      <c r="Q9">
        <v>0</v>
      </c>
      <c r="R9">
        <v>1</v>
      </c>
      <c r="S9" t="s">
        <v>14</v>
      </c>
      <c r="T9" s="6" t="s">
        <v>19</v>
      </c>
      <c r="U9" t="s">
        <v>221</v>
      </c>
      <c r="V9" t="s">
        <v>39</v>
      </c>
      <c r="W9" t="s">
        <v>46</v>
      </c>
      <c r="X9" t="s">
        <v>289</v>
      </c>
      <c r="Y9" s="18" t="s">
        <v>404</v>
      </c>
      <c r="Z9" t="s">
        <v>290</v>
      </c>
      <c r="AA9">
        <f>Table2[[#This Row],[burbot caught]]/(Table2[[#This Row],[No. in party]]*Table2[[#This Row],[sets]])</f>
        <v>0.5</v>
      </c>
    </row>
    <row r="10" spans="1:27" ht="27" customHeight="1" x14ac:dyDescent="0.2">
      <c r="A10">
        <v>9</v>
      </c>
      <c r="B10" s="1">
        <v>45108</v>
      </c>
      <c r="C10" s="2">
        <v>0.4375</v>
      </c>
      <c r="D10" s="33" t="s">
        <v>415</v>
      </c>
      <c r="E10" t="s">
        <v>40</v>
      </c>
      <c r="F10">
        <v>3</v>
      </c>
      <c r="G10" t="s">
        <v>14</v>
      </c>
      <c r="H10" s="2">
        <v>0.875</v>
      </c>
      <c r="I10" s="2">
        <v>0.33333333333333331</v>
      </c>
      <c r="J10" s="8">
        <v>1</v>
      </c>
      <c r="L10" s="9">
        <v>33</v>
      </c>
      <c r="M10" t="s">
        <v>14</v>
      </c>
      <c r="N10">
        <v>2</v>
      </c>
      <c r="O10">
        <f>Table2[[#This Row],[burbot caught]]/Table2[[#This Row],[Total hours]]</f>
        <v>6.0606060606060608E-2</v>
      </c>
      <c r="P10">
        <v>2</v>
      </c>
      <c r="Q10">
        <v>0</v>
      </c>
      <c r="R10">
        <v>0</v>
      </c>
      <c r="S10" t="s">
        <v>14</v>
      </c>
      <c r="T10" s="6" t="s">
        <v>19</v>
      </c>
      <c r="U10" t="s">
        <v>222</v>
      </c>
      <c r="V10" t="s">
        <v>41</v>
      </c>
      <c r="W10" t="s">
        <v>46</v>
      </c>
      <c r="X10" t="s">
        <v>291</v>
      </c>
      <c r="Y10" s="17" t="s">
        <v>402</v>
      </c>
      <c r="AA10">
        <f>Table2[[#This Row],[burbot caught]]/(Table2[[#This Row],[No. in party]]*Table2[[#This Row],[sets]])</f>
        <v>0.66666666666666663</v>
      </c>
    </row>
    <row r="11" spans="1:27" ht="27" customHeight="1" x14ac:dyDescent="0.2">
      <c r="A11">
        <v>10</v>
      </c>
      <c r="B11" s="1">
        <v>45109</v>
      </c>
      <c r="C11" s="2">
        <v>0.52777777777777779</v>
      </c>
      <c r="D11" s="33" t="s">
        <v>415</v>
      </c>
      <c r="E11" t="s">
        <v>43</v>
      </c>
      <c r="F11">
        <v>2</v>
      </c>
      <c r="G11" t="s">
        <v>14</v>
      </c>
      <c r="H11" s="4">
        <v>0.41666666666666669</v>
      </c>
      <c r="I11" s="2">
        <v>0.41666666666666669</v>
      </c>
      <c r="J11" s="8">
        <v>1</v>
      </c>
      <c r="L11" s="9">
        <v>48</v>
      </c>
      <c r="M11" t="s">
        <v>14</v>
      </c>
      <c r="N11">
        <v>1</v>
      </c>
      <c r="O11">
        <f>Table2[[#This Row],[burbot caught]]/Table2[[#This Row],[Total hours]]</f>
        <v>2.0833333333333332E-2</v>
      </c>
      <c r="P11">
        <v>1</v>
      </c>
      <c r="Q11">
        <v>0</v>
      </c>
      <c r="R11">
        <v>0</v>
      </c>
      <c r="S11" t="s">
        <v>14</v>
      </c>
      <c r="T11" s="6" t="s">
        <v>19</v>
      </c>
      <c r="U11" t="s">
        <v>223</v>
      </c>
      <c r="V11" t="s">
        <v>44</v>
      </c>
      <c r="W11" t="s">
        <v>46</v>
      </c>
      <c r="X11" t="s">
        <v>292</v>
      </c>
      <c r="Y11" s="17" t="s">
        <v>402</v>
      </c>
      <c r="AA11">
        <f>Table2[[#This Row],[burbot caught]]/(Table2[[#This Row],[No. in party]]*Table2[[#This Row],[sets]])</f>
        <v>0.5</v>
      </c>
    </row>
    <row r="12" spans="1:27" ht="27" customHeight="1" x14ac:dyDescent="0.2">
      <c r="A12">
        <v>11</v>
      </c>
      <c r="B12" s="1">
        <v>45109</v>
      </c>
      <c r="C12" s="2">
        <v>0.56944444444444442</v>
      </c>
      <c r="D12" s="33" t="s">
        <v>415</v>
      </c>
      <c r="E12" t="s">
        <v>45</v>
      </c>
      <c r="F12">
        <v>1</v>
      </c>
      <c r="G12" t="s">
        <v>30</v>
      </c>
      <c r="H12" s="2" t="s">
        <v>46</v>
      </c>
      <c r="I12" s="2" t="s">
        <v>46</v>
      </c>
      <c r="J12" s="8" t="s">
        <v>46</v>
      </c>
      <c r="L12" s="9" t="s">
        <v>46</v>
      </c>
      <c r="M12" t="s">
        <v>30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30</v>
      </c>
      <c r="T12" s="6" t="s">
        <v>19</v>
      </c>
      <c r="U12" s="5" t="s">
        <v>224</v>
      </c>
      <c r="V12" t="s">
        <v>47</v>
      </c>
      <c r="W12" t="s">
        <v>46</v>
      </c>
      <c r="X12" t="s">
        <v>293</v>
      </c>
      <c r="Y12" s="20" t="s">
        <v>46</v>
      </c>
      <c r="Z12" t="s">
        <v>49</v>
      </c>
      <c r="AA12" t="e">
        <f>Table2[[#This Row],[burbot caught]]/(Table2[[#This Row],[No. in party]]*Table2[[#This Row],[sets]])</f>
        <v>#VALUE!</v>
      </c>
    </row>
    <row r="13" spans="1:27" ht="27" customHeight="1" x14ac:dyDescent="0.2">
      <c r="A13">
        <v>12</v>
      </c>
      <c r="B13" s="1">
        <v>45109</v>
      </c>
      <c r="C13" s="2">
        <v>0.65625</v>
      </c>
      <c r="D13" s="33" t="s">
        <v>415</v>
      </c>
      <c r="E13" t="s">
        <v>50</v>
      </c>
      <c r="F13">
        <v>2</v>
      </c>
      <c r="G13" t="s">
        <v>14</v>
      </c>
      <c r="H13" s="2">
        <v>0.54166666666666663</v>
      </c>
      <c r="I13" s="2">
        <v>0.47916666666666669</v>
      </c>
      <c r="J13" s="8">
        <v>1</v>
      </c>
      <c r="K13" s="8">
        <v>1</v>
      </c>
      <c r="L13" s="9">
        <v>42</v>
      </c>
      <c r="M13" t="s">
        <v>14</v>
      </c>
      <c r="N13">
        <v>0</v>
      </c>
      <c r="O13">
        <f>Table2[[#This Row],[burbot caught]]/Table2[[#This Row],[Total hours]]</f>
        <v>0</v>
      </c>
      <c r="P13">
        <v>0</v>
      </c>
      <c r="Q13">
        <v>0</v>
      </c>
      <c r="R13">
        <v>0</v>
      </c>
      <c r="S13" t="s">
        <v>30</v>
      </c>
      <c r="T13" s="6" t="s">
        <v>19</v>
      </c>
      <c r="U13" t="s">
        <v>224</v>
      </c>
      <c r="V13" t="s">
        <v>47</v>
      </c>
      <c r="W13" t="s">
        <v>46</v>
      </c>
      <c r="X13" t="s">
        <v>236</v>
      </c>
      <c r="Y13" s="17" t="s">
        <v>402</v>
      </c>
      <c r="Z13" t="s">
        <v>294</v>
      </c>
      <c r="AA13">
        <f>Table2[[#This Row],[burbot caught]]/(Table2[[#This Row],[No. in party]]*Table2[[#This Row],[sets]])</f>
        <v>0</v>
      </c>
    </row>
    <row r="14" spans="1:27" ht="27" customHeight="1" x14ac:dyDescent="0.2">
      <c r="A14">
        <v>13</v>
      </c>
      <c r="B14" s="1">
        <v>45109</v>
      </c>
      <c r="C14" s="2">
        <v>0.66666666666666663</v>
      </c>
      <c r="D14" s="33" t="s">
        <v>415</v>
      </c>
      <c r="E14" t="s">
        <v>51</v>
      </c>
      <c r="F14">
        <v>2</v>
      </c>
      <c r="G14" t="s">
        <v>14</v>
      </c>
      <c r="H14" s="2">
        <v>0.83333333333333337</v>
      </c>
      <c r="I14" s="2" t="s">
        <v>52</v>
      </c>
      <c r="J14" s="8">
        <v>1</v>
      </c>
      <c r="L14" s="9">
        <v>26</v>
      </c>
      <c r="M14" t="s">
        <v>14</v>
      </c>
      <c r="N14">
        <v>1</v>
      </c>
      <c r="O14">
        <f>Table2[[#This Row],[burbot caught]]/Table2[[#This Row],[Total hours]]</f>
        <v>3.8461538461538464E-2</v>
      </c>
      <c r="P14">
        <v>1</v>
      </c>
      <c r="Q14">
        <v>0</v>
      </c>
      <c r="R14">
        <v>0</v>
      </c>
      <c r="S14" t="s">
        <v>30</v>
      </c>
      <c r="T14" s="6" t="s">
        <v>19</v>
      </c>
      <c r="U14" t="s">
        <v>225</v>
      </c>
      <c r="V14" t="s">
        <v>53</v>
      </c>
      <c r="W14" t="s">
        <v>46</v>
      </c>
      <c r="X14" t="s">
        <v>54</v>
      </c>
      <c r="Y14" s="9" t="s">
        <v>407</v>
      </c>
      <c r="Z14" t="s">
        <v>295</v>
      </c>
      <c r="AA14">
        <f>Table2[[#This Row],[burbot caught]]/(Table2[[#This Row],[No. in party]]*Table2[[#This Row],[sets]])</f>
        <v>0.5</v>
      </c>
    </row>
    <row r="15" spans="1:27" ht="27" customHeight="1" x14ac:dyDescent="0.2">
      <c r="A15">
        <v>14</v>
      </c>
      <c r="B15" s="1">
        <v>45110</v>
      </c>
      <c r="C15" s="2">
        <v>0.42708333333333331</v>
      </c>
      <c r="D15" s="33" t="s">
        <v>415</v>
      </c>
      <c r="E15" t="s">
        <v>55</v>
      </c>
      <c r="F15">
        <v>2</v>
      </c>
      <c r="G15" t="s">
        <v>14</v>
      </c>
      <c r="H15" s="2">
        <v>0.29166666666666669</v>
      </c>
      <c r="I15" s="2">
        <v>0.33333333333333331</v>
      </c>
      <c r="J15" s="8">
        <v>3</v>
      </c>
      <c r="K15" s="8">
        <v>2</v>
      </c>
      <c r="L15" s="9">
        <f>49*2</f>
        <v>98</v>
      </c>
      <c r="M15" t="s">
        <v>14</v>
      </c>
      <c r="N15">
        <v>0</v>
      </c>
      <c r="O15">
        <f>Table2[[#This Row],[burbot caught]]/Table2[[#This Row],[Total hours]]</f>
        <v>0</v>
      </c>
      <c r="P15">
        <v>0</v>
      </c>
      <c r="Q15">
        <v>0</v>
      </c>
      <c r="R15">
        <v>0</v>
      </c>
      <c r="S15" t="s">
        <v>30</v>
      </c>
      <c r="T15" s="6" t="s">
        <v>19</v>
      </c>
      <c r="U15" t="s">
        <v>217</v>
      </c>
      <c r="V15" t="s">
        <v>218</v>
      </c>
      <c r="W15" t="s">
        <v>20</v>
      </c>
      <c r="X15" t="s">
        <v>296</v>
      </c>
      <c r="Y15" s="20" t="s">
        <v>46</v>
      </c>
      <c r="Z15" t="s">
        <v>56</v>
      </c>
      <c r="AA15">
        <f>Table2[[#This Row],[burbot caught]]/(Table2[[#This Row],[No. in party]]*Table2[[#This Row],[sets]])</f>
        <v>0</v>
      </c>
    </row>
    <row r="16" spans="1:27" ht="27" customHeight="1" x14ac:dyDescent="0.2">
      <c r="A16">
        <v>15</v>
      </c>
      <c r="B16" s="1">
        <v>45111</v>
      </c>
      <c r="C16" s="2">
        <v>0.5</v>
      </c>
      <c r="D16" s="32" t="s">
        <v>414</v>
      </c>
      <c r="E16" t="s">
        <v>57</v>
      </c>
      <c r="F16">
        <v>2</v>
      </c>
      <c r="G16" t="s">
        <v>14</v>
      </c>
      <c r="H16" s="2">
        <v>0.8125</v>
      </c>
      <c r="I16" s="2">
        <v>0.39583333333333331</v>
      </c>
      <c r="J16" s="8">
        <v>1</v>
      </c>
      <c r="L16" s="9">
        <f>14*2</f>
        <v>28</v>
      </c>
      <c r="M16" t="s">
        <v>14</v>
      </c>
      <c r="N16">
        <v>1</v>
      </c>
      <c r="O16">
        <f>Table2[[#This Row],[burbot caught]]/Table2[[#This Row],[Total hours]]</f>
        <v>3.5714285714285712E-2</v>
      </c>
      <c r="P16">
        <v>1</v>
      </c>
      <c r="Q16">
        <v>0</v>
      </c>
      <c r="R16">
        <v>0</v>
      </c>
      <c r="S16" t="s">
        <v>14</v>
      </c>
      <c r="T16" s="6" t="s">
        <v>19</v>
      </c>
      <c r="U16" t="s">
        <v>221</v>
      </c>
      <c r="V16" t="s">
        <v>39</v>
      </c>
      <c r="W16" t="s">
        <v>46</v>
      </c>
      <c r="X16" t="s">
        <v>297</v>
      </c>
      <c r="Y16" s="9" t="s">
        <v>411</v>
      </c>
      <c r="Z16" t="s">
        <v>298</v>
      </c>
      <c r="AA16">
        <f>Table2[[#This Row],[burbot caught]]/(Table2[[#This Row],[No. in party]]*Table2[[#This Row],[sets]])</f>
        <v>0.5</v>
      </c>
    </row>
    <row r="17" spans="1:27" ht="27" customHeight="1" x14ac:dyDescent="0.2">
      <c r="A17">
        <v>16</v>
      </c>
      <c r="B17" s="1">
        <v>45112</v>
      </c>
      <c r="C17" s="2">
        <v>0.40972222222222227</v>
      </c>
      <c r="D17" s="32" t="s">
        <v>414</v>
      </c>
      <c r="E17" t="s">
        <v>58</v>
      </c>
      <c r="F17" t="s">
        <v>59</v>
      </c>
      <c r="G17" t="s">
        <v>14</v>
      </c>
      <c r="H17" s="2">
        <v>0.625</v>
      </c>
      <c r="I17" s="2">
        <v>0.45833333333333331</v>
      </c>
      <c r="J17" s="8">
        <v>5</v>
      </c>
      <c r="L17" s="9">
        <f>8*5</f>
        <v>40</v>
      </c>
      <c r="M17" t="s">
        <v>14</v>
      </c>
      <c r="N17">
        <v>2</v>
      </c>
      <c r="O17">
        <f>Table2[[#This Row],[burbot caught]]/Table2[[#This Row],[Total hours]]</f>
        <v>0.05</v>
      </c>
      <c r="P17">
        <v>2</v>
      </c>
      <c r="Q17">
        <v>0</v>
      </c>
      <c r="R17">
        <v>0</v>
      </c>
      <c r="S17" t="s">
        <v>30</v>
      </c>
      <c r="T17" s="6" t="s">
        <v>19</v>
      </c>
      <c r="U17" t="s">
        <v>221</v>
      </c>
      <c r="V17" t="s">
        <v>39</v>
      </c>
      <c r="W17" t="s">
        <v>46</v>
      </c>
      <c r="X17" t="s">
        <v>299</v>
      </c>
      <c r="Y17" s="17" t="s">
        <v>402</v>
      </c>
      <c r="Z17" t="s">
        <v>60</v>
      </c>
      <c r="AA17" t="e">
        <f>Table2[[#This Row],[burbot caught]]/(Table2[[#This Row],[No. in party]]*Table2[[#This Row],[sets]])</f>
        <v>#VALUE!</v>
      </c>
    </row>
    <row r="18" spans="1:27" ht="27" customHeight="1" x14ac:dyDescent="0.2">
      <c r="A18">
        <v>17</v>
      </c>
      <c r="B18" s="1">
        <v>45112</v>
      </c>
      <c r="C18" s="2">
        <v>0.43055555555555558</v>
      </c>
      <c r="D18" s="32" t="s">
        <v>414</v>
      </c>
      <c r="E18" t="s">
        <v>61</v>
      </c>
      <c r="F18">
        <v>4</v>
      </c>
      <c r="G18" t="s">
        <v>14</v>
      </c>
      <c r="H18" s="2">
        <v>0.75</v>
      </c>
      <c r="I18" s="2">
        <v>0.40625</v>
      </c>
      <c r="J18" s="8">
        <v>3</v>
      </c>
      <c r="K18" s="8">
        <v>3</v>
      </c>
      <c r="L18" s="9">
        <f>15.75*4*3</f>
        <v>189</v>
      </c>
      <c r="M18" t="s">
        <v>14</v>
      </c>
      <c r="N18">
        <v>1</v>
      </c>
      <c r="O18">
        <f>Table2[[#This Row],[burbot caught]]/Table2[[#This Row],[Total hours]]</f>
        <v>5.2910052910052907E-3</v>
      </c>
      <c r="P18">
        <v>1</v>
      </c>
      <c r="Q18">
        <v>0</v>
      </c>
      <c r="R18">
        <v>0</v>
      </c>
      <c r="S18" t="s">
        <v>14</v>
      </c>
      <c r="T18" s="6" t="s">
        <v>19</v>
      </c>
      <c r="U18" t="s">
        <v>224</v>
      </c>
      <c r="V18" t="s">
        <v>47</v>
      </c>
      <c r="W18" t="s">
        <v>46</v>
      </c>
      <c r="X18" t="s">
        <v>301</v>
      </c>
      <c r="Y18" s="10" t="s">
        <v>401</v>
      </c>
      <c r="Z18" t="s">
        <v>421</v>
      </c>
      <c r="AA18">
        <f>Table2[[#This Row],[burbot caught]]/(Table2[[#This Row],[No. in party]]*Table2[[#This Row],[sets]])</f>
        <v>8.3333333333333329E-2</v>
      </c>
    </row>
    <row r="19" spans="1:27" ht="27" customHeight="1" x14ac:dyDescent="0.2">
      <c r="A19">
        <v>18</v>
      </c>
      <c r="B19" s="1">
        <v>45112</v>
      </c>
      <c r="C19" s="2">
        <v>0.57291666666666663</v>
      </c>
      <c r="D19" s="32" t="s">
        <v>414</v>
      </c>
      <c r="E19" t="s">
        <v>64</v>
      </c>
      <c r="F19">
        <v>2</v>
      </c>
      <c r="G19" t="s">
        <v>14</v>
      </c>
      <c r="H19" s="2">
        <v>0.41666666666666669</v>
      </c>
      <c r="I19" s="2">
        <v>0.5</v>
      </c>
      <c r="J19" s="8">
        <v>1</v>
      </c>
      <c r="K19" s="8">
        <v>1</v>
      </c>
      <c r="L19" s="9">
        <v>26</v>
      </c>
      <c r="M19" t="s">
        <v>14</v>
      </c>
      <c r="N19">
        <v>0</v>
      </c>
      <c r="O19">
        <f>Table2[[#This Row],[burbot caught]]/Table2[[#This Row],[Total hours]]</f>
        <v>0</v>
      </c>
      <c r="P19">
        <v>0</v>
      </c>
      <c r="Q19">
        <v>0</v>
      </c>
      <c r="R19">
        <v>0</v>
      </c>
      <c r="S19" t="s">
        <v>30</v>
      </c>
      <c r="T19" s="6" t="s">
        <v>19</v>
      </c>
      <c r="U19" s="5" t="s">
        <v>219</v>
      </c>
      <c r="V19" t="s">
        <v>20</v>
      </c>
      <c r="W19" t="s">
        <v>46</v>
      </c>
      <c r="X19" t="s">
        <v>66</v>
      </c>
      <c r="Y19" s="6" t="s">
        <v>405</v>
      </c>
      <c r="AA19">
        <f>Table2[[#This Row],[burbot caught]]/(Table2[[#This Row],[No. in party]]*Table2[[#This Row],[sets]])</f>
        <v>0</v>
      </c>
    </row>
    <row r="20" spans="1:27" ht="27" customHeight="1" x14ac:dyDescent="0.2">
      <c r="A20">
        <v>19</v>
      </c>
      <c r="B20" s="1">
        <v>45113</v>
      </c>
      <c r="C20" s="2"/>
      <c r="D20" s="32" t="s">
        <v>414</v>
      </c>
      <c r="E20" t="s">
        <v>64</v>
      </c>
      <c r="F20">
        <v>2</v>
      </c>
      <c r="G20" t="s">
        <v>14</v>
      </c>
      <c r="H20" s="2">
        <v>0.79166666666666663</v>
      </c>
      <c r="I20" s="2">
        <v>0.44791666666666669</v>
      </c>
      <c r="J20" s="8">
        <v>1</v>
      </c>
      <c r="K20" s="8">
        <v>1</v>
      </c>
      <c r="L20" s="9">
        <v>15.75</v>
      </c>
      <c r="M20" t="s">
        <v>14</v>
      </c>
      <c r="N20">
        <v>0</v>
      </c>
      <c r="O20">
        <f>Table2[[#This Row],[burbot caught]]/Table2[[#This Row],[Total hours]]</f>
        <v>0</v>
      </c>
      <c r="P20">
        <v>0</v>
      </c>
      <c r="Q20">
        <v>0</v>
      </c>
      <c r="R20">
        <v>0</v>
      </c>
      <c r="S20" t="s">
        <v>30</v>
      </c>
      <c r="T20" s="6" t="s">
        <v>19</v>
      </c>
      <c r="U20" s="5" t="s">
        <v>219</v>
      </c>
      <c r="V20" t="s">
        <v>20</v>
      </c>
      <c r="W20" t="s">
        <v>46</v>
      </c>
      <c r="X20" t="s">
        <v>66</v>
      </c>
      <c r="Y20" s="6" t="s">
        <v>405</v>
      </c>
      <c r="AA20">
        <f>Table2[[#This Row],[burbot caught]]/(Table2[[#This Row],[No. in party]]*Table2[[#This Row],[sets]])</f>
        <v>0</v>
      </c>
    </row>
    <row r="21" spans="1:27" ht="27" customHeight="1" x14ac:dyDescent="0.2">
      <c r="A21">
        <v>20</v>
      </c>
      <c r="B21" s="1">
        <v>45128</v>
      </c>
      <c r="C21" s="2">
        <v>0.47916666666666669</v>
      </c>
      <c r="D21" s="32" t="s">
        <v>414</v>
      </c>
      <c r="E21" t="s">
        <v>31</v>
      </c>
      <c r="F21">
        <v>2</v>
      </c>
      <c r="G21" t="s">
        <v>14</v>
      </c>
      <c r="H21" s="1">
        <v>45125.75</v>
      </c>
      <c r="I21" s="3">
        <v>45128.333333333336</v>
      </c>
      <c r="J21" s="8">
        <v>5</v>
      </c>
      <c r="K21" s="8">
        <v>3</v>
      </c>
      <c r="L21" s="9">
        <f>14*5</f>
        <v>70</v>
      </c>
      <c r="M21" t="s">
        <v>14</v>
      </c>
      <c r="N21">
        <v>0</v>
      </c>
      <c r="O21">
        <f>Table2[[#This Row],[burbot caught]]/Table2[[#This Row],[Total hours]]</f>
        <v>0</v>
      </c>
      <c r="P21">
        <v>0</v>
      </c>
      <c r="Q21">
        <v>0</v>
      </c>
      <c r="R21">
        <v>0</v>
      </c>
      <c r="S21" t="s">
        <v>30</v>
      </c>
      <c r="T21" s="6" t="s">
        <v>19</v>
      </c>
      <c r="U21" t="s">
        <v>215</v>
      </c>
      <c r="V21" t="s">
        <v>35</v>
      </c>
      <c r="W21" t="s">
        <v>46</v>
      </c>
      <c r="X21" t="s">
        <v>288</v>
      </c>
      <c r="Y21" s="19" t="s">
        <v>403</v>
      </c>
      <c r="Z21" t="s">
        <v>300</v>
      </c>
      <c r="AA21">
        <f>Table2[[#This Row],[burbot caught]]/(Table2[[#This Row],[No. in party]]*Table2[[#This Row],[sets]])</f>
        <v>0</v>
      </c>
    </row>
    <row r="22" spans="1:27" ht="27" customHeight="1" x14ac:dyDescent="0.2">
      <c r="A22">
        <v>21</v>
      </c>
      <c r="B22" s="1">
        <v>45129</v>
      </c>
      <c r="C22" s="2">
        <v>0.42708333333333331</v>
      </c>
      <c r="D22" s="33" t="s">
        <v>415</v>
      </c>
      <c r="E22" t="s">
        <v>112</v>
      </c>
      <c r="F22">
        <v>3</v>
      </c>
      <c r="G22" t="s">
        <v>14</v>
      </c>
      <c r="H22" s="2">
        <v>0.375</v>
      </c>
      <c r="I22" s="2">
        <v>0.39583333333333331</v>
      </c>
      <c r="J22" s="8">
        <v>1</v>
      </c>
      <c r="K22" s="8">
        <v>1</v>
      </c>
      <c r="L22" s="10">
        <v>0.5</v>
      </c>
      <c r="M22" t="s">
        <v>14</v>
      </c>
      <c r="N22">
        <v>1</v>
      </c>
      <c r="O22">
        <f>Table2[[#This Row],[burbot caught]]/Table2[[#This Row],[Total hours]]</f>
        <v>2</v>
      </c>
      <c r="P22">
        <v>1</v>
      </c>
      <c r="Q22">
        <v>0</v>
      </c>
      <c r="R22">
        <v>0</v>
      </c>
      <c r="S22" t="s">
        <v>30</v>
      </c>
      <c r="T22" s="7" t="s">
        <v>124</v>
      </c>
      <c r="U22" t="s">
        <v>126</v>
      </c>
      <c r="W22" t="s">
        <v>46</v>
      </c>
      <c r="X22" t="s">
        <v>302</v>
      </c>
      <c r="Y22" s="19" t="s">
        <v>403</v>
      </c>
      <c r="AA22">
        <f>Table2[[#This Row],[burbot caught]]/(Table2[[#This Row],[No. in party]]*Table2[[#This Row],[sets]])</f>
        <v>0.33333333333333331</v>
      </c>
    </row>
    <row r="23" spans="1:27" ht="27" customHeight="1" x14ac:dyDescent="0.2">
      <c r="A23">
        <v>22</v>
      </c>
      <c r="B23" s="1">
        <v>45130</v>
      </c>
      <c r="C23" s="2">
        <v>0.45833333333333331</v>
      </c>
      <c r="D23" s="33" t="s">
        <v>415</v>
      </c>
      <c r="E23" t="s">
        <v>112</v>
      </c>
      <c r="F23">
        <v>3</v>
      </c>
      <c r="G23" t="s">
        <v>14</v>
      </c>
      <c r="H23" s="2">
        <v>0.91666666666666663</v>
      </c>
      <c r="I23" s="2">
        <v>0.375</v>
      </c>
      <c r="J23" s="8">
        <v>1</v>
      </c>
      <c r="K23" s="8">
        <v>1</v>
      </c>
      <c r="L23" s="9">
        <v>33</v>
      </c>
      <c r="M23" t="s">
        <v>14</v>
      </c>
      <c r="N23">
        <v>1</v>
      </c>
      <c r="O23">
        <f>Table2[[#This Row],[burbot caught]]/Table2[[#This Row],[Total hours]]</f>
        <v>3.0303030303030304E-2</v>
      </c>
      <c r="P23">
        <v>1</v>
      </c>
      <c r="Q23">
        <v>0</v>
      </c>
      <c r="R23">
        <v>0</v>
      </c>
      <c r="S23" t="s">
        <v>14</v>
      </c>
      <c r="T23" s="6" t="s">
        <v>19</v>
      </c>
      <c r="U23" t="s">
        <v>226</v>
      </c>
      <c r="V23" t="s">
        <v>46</v>
      </c>
      <c r="W23" t="s">
        <v>46</v>
      </c>
      <c r="X23" t="s">
        <v>305</v>
      </c>
      <c r="Y23" s="19" t="s">
        <v>403</v>
      </c>
      <c r="Z23" t="s">
        <v>410</v>
      </c>
      <c r="AA23">
        <f>Table2[[#This Row],[burbot caught]]/(Table2[[#This Row],[No. in party]]*Table2[[#This Row],[sets]])</f>
        <v>0.33333333333333331</v>
      </c>
    </row>
    <row r="24" spans="1:27" ht="27" customHeight="1" x14ac:dyDescent="0.2">
      <c r="A24">
        <v>23</v>
      </c>
      <c r="B24" s="1">
        <v>45130</v>
      </c>
      <c r="C24" s="2">
        <v>0.4375</v>
      </c>
      <c r="D24" s="33" t="s">
        <v>415</v>
      </c>
      <c r="E24" t="s">
        <v>114</v>
      </c>
      <c r="F24" t="s">
        <v>59</v>
      </c>
      <c r="G24" t="s">
        <v>14</v>
      </c>
      <c r="H24" s="2" t="s">
        <v>115</v>
      </c>
      <c r="I24" s="2" t="s">
        <v>125</v>
      </c>
      <c r="J24" s="8">
        <v>1</v>
      </c>
      <c r="L24" s="9">
        <v>12.5</v>
      </c>
      <c r="M24" t="s">
        <v>14</v>
      </c>
      <c r="N24">
        <v>1</v>
      </c>
      <c r="O24">
        <f>Table2[[#This Row],[burbot caught]]/Table2[[#This Row],[Total hours]]</f>
        <v>0.08</v>
      </c>
      <c r="P24">
        <v>1</v>
      </c>
      <c r="Q24">
        <v>0</v>
      </c>
      <c r="R24">
        <v>0</v>
      </c>
      <c r="S24" t="s">
        <v>30</v>
      </c>
      <c r="T24" s="6" t="s">
        <v>19</v>
      </c>
      <c r="U24" t="s">
        <v>226</v>
      </c>
      <c r="V24" t="s">
        <v>127</v>
      </c>
      <c r="W24" t="s">
        <v>46</v>
      </c>
      <c r="X24" t="s">
        <v>302</v>
      </c>
      <c r="Y24" s="19" t="s">
        <v>403</v>
      </c>
      <c r="AA24" t="e">
        <f>Table2[[#This Row],[burbot caught]]/(Table2[[#This Row],[No. in party]]*Table2[[#This Row],[sets]])</f>
        <v>#VALUE!</v>
      </c>
    </row>
    <row r="25" spans="1:27" ht="27" customHeight="1" x14ac:dyDescent="0.2">
      <c r="A25">
        <v>24</v>
      </c>
      <c r="B25" s="1">
        <v>45130</v>
      </c>
      <c r="C25" s="2">
        <v>0.5625</v>
      </c>
      <c r="D25" s="33" t="s">
        <v>415</v>
      </c>
      <c r="E25" t="s">
        <v>117</v>
      </c>
      <c r="F25">
        <v>2</v>
      </c>
      <c r="G25" t="s">
        <v>14</v>
      </c>
      <c r="H25" s="2">
        <v>0.72916666666666663</v>
      </c>
      <c r="I25" s="2">
        <v>0.44791666666666669</v>
      </c>
      <c r="J25" s="8">
        <v>1</v>
      </c>
      <c r="K25" s="8">
        <v>1</v>
      </c>
      <c r="L25" s="9">
        <f>17.25*2</f>
        <v>34.5</v>
      </c>
      <c r="M25" t="s">
        <v>14</v>
      </c>
      <c r="N25">
        <v>0</v>
      </c>
      <c r="O25">
        <f>Table2[[#This Row],[burbot caught]]/Table2[[#This Row],[Total hours]]</f>
        <v>0</v>
      </c>
      <c r="P25">
        <v>0</v>
      </c>
      <c r="Q25">
        <v>0</v>
      </c>
      <c r="R25">
        <v>0</v>
      </c>
      <c r="S25" t="s">
        <v>30</v>
      </c>
      <c r="T25" s="6" t="s">
        <v>19</v>
      </c>
      <c r="U25" t="s">
        <v>227</v>
      </c>
      <c r="V25" t="s">
        <v>39</v>
      </c>
      <c r="W25" t="s">
        <v>228</v>
      </c>
      <c r="X25" t="s">
        <v>303</v>
      </c>
      <c r="Y25" s="20" t="s">
        <v>46</v>
      </c>
      <c r="AA25">
        <f>Table2[[#This Row],[burbot caught]]/(Table2[[#This Row],[No. in party]]*Table2[[#This Row],[sets]])</f>
        <v>0</v>
      </c>
    </row>
    <row r="26" spans="1:27" ht="27" customHeight="1" x14ac:dyDescent="0.2">
      <c r="A26">
        <v>25</v>
      </c>
      <c r="B26" s="1">
        <v>45130</v>
      </c>
      <c r="C26" s="2">
        <v>0.66666666666666663</v>
      </c>
      <c r="D26" s="33" t="s">
        <v>415</v>
      </c>
      <c r="E26" t="s">
        <v>120</v>
      </c>
      <c r="F26">
        <v>2</v>
      </c>
      <c r="G26" t="s">
        <v>14</v>
      </c>
      <c r="H26" s="2">
        <v>0.625</v>
      </c>
      <c r="I26" s="2">
        <v>0.41666666666666669</v>
      </c>
      <c r="J26" s="8">
        <v>1</v>
      </c>
      <c r="L26" s="9">
        <f>19*2</f>
        <v>38</v>
      </c>
      <c r="M26" t="s">
        <v>14</v>
      </c>
      <c r="N26">
        <v>2</v>
      </c>
      <c r="O26">
        <f>Table2[[#This Row],[burbot caught]]/Table2[[#This Row],[Total hours]]</f>
        <v>5.2631578947368418E-2</v>
      </c>
      <c r="P26">
        <v>2</v>
      </c>
      <c r="Q26">
        <v>0</v>
      </c>
      <c r="R26">
        <v>0</v>
      </c>
      <c r="S26" t="s">
        <v>14</v>
      </c>
      <c r="T26" s="6" t="s">
        <v>19</v>
      </c>
      <c r="U26" t="s">
        <v>229</v>
      </c>
      <c r="V26" t="s">
        <v>129</v>
      </c>
      <c r="W26" t="s">
        <v>46</v>
      </c>
      <c r="X26" t="s">
        <v>304</v>
      </c>
      <c r="Y26" s="17" t="s">
        <v>402</v>
      </c>
      <c r="Z26" t="s">
        <v>130</v>
      </c>
      <c r="AA26">
        <f>Table2[[#This Row],[burbot caught]]/(Table2[[#This Row],[No. in party]]*Table2[[#This Row],[sets]])</f>
        <v>1</v>
      </c>
    </row>
    <row r="27" spans="1:27" ht="27" customHeight="1" x14ac:dyDescent="0.2">
      <c r="A27">
        <v>26</v>
      </c>
      <c r="B27" s="1">
        <v>45138</v>
      </c>
      <c r="C27" s="2">
        <v>0.625</v>
      </c>
      <c r="D27" s="32" t="s">
        <v>414</v>
      </c>
      <c r="E27" t="s">
        <v>123</v>
      </c>
      <c r="F27">
        <v>4</v>
      </c>
      <c r="G27" t="s">
        <v>14</v>
      </c>
      <c r="H27" s="2">
        <v>0.83333333333333337</v>
      </c>
      <c r="I27" s="2">
        <v>0.33333333333333331</v>
      </c>
      <c r="J27" s="8">
        <v>1</v>
      </c>
      <c r="L27" s="9">
        <v>48</v>
      </c>
      <c r="M27" t="s">
        <v>14</v>
      </c>
      <c r="N27">
        <v>2</v>
      </c>
      <c r="O27">
        <f>Table2[[#This Row],[burbot caught]]/Table2[[#This Row],[Total hours]]</f>
        <v>4.1666666666666664E-2</v>
      </c>
      <c r="P27">
        <v>2</v>
      </c>
      <c r="Q27">
        <v>0</v>
      </c>
      <c r="R27">
        <v>1</v>
      </c>
      <c r="S27" t="s">
        <v>30</v>
      </c>
      <c r="T27" s="6" t="s">
        <v>19</v>
      </c>
      <c r="U27" t="s">
        <v>230</v>
      </c>
      <c r="V27" t="s">
        <v>131</v>
      </c>
      <c r="W27" t="s">
        <v>46</v>
      </c>
      <c r="X27" t="s">
        <v>306</v>
      </c>
      <c r="Y27" s="6" t="s">
        <v>405</v>
      </c>
      <c r="Z27" t="s">
        <v>363</v>
      </c>
      <c r="AA27">
        <f>Table2[[#This Row],[burbot caught]]/(Table2[[#This Row],[No. in party]]*Table2[[#This Row],[sets]])</f>
        <v>0.5</v>
      </c>
    </row>
    <row r="28" spans="1:27" ht="27" customHeight="1" x14ac:dyDescent="0.2">
      <c r="A28">
        <v>27</v>
      </c>
      <c r="B28" s="1">
        <v>45139</v>
      </c>
      <c r="C28" s="2">
        <v>0.45833333333333331</v>
      </c>
      <c r="D28" s="32" t="s">
        <v>414</v>
      </c>
      <c r="E28" t="s">
        <v>135</v>
      </c>
      <c r="F28">
        <v>2</v>
      </c>
      <c r="G28" t="s">
        <v>14</v>
      </c>
      <c r="H28" s="2">
        <v>0.45833333333333331</v>
      </c>
      <c r="I28" s="2">
        <v>0.33333333333333331</v>
      </c>
      <c r="J28" s="8">
        <v>1</v>
      </c>
      <c r="L28" s="9">
        <v>42</v>
      </c>
      <c r="M28" t="s">
        <v>14</v>
      </c>
      <c r="N28">
        <v>1</v>
      </c>
      <c r="O28">
        <f>Table2[[#This Row],[burbot caught]]/Table2[[#This Row],[Total hours]]</f>
        <v>2.3809523809523808E-2</v>
      </c>
      <c r="P28">
        <v>1</v>
      </c>
      <c r="Q28">
        <v>0</v>
      </c>
      <c r="R28">
        <v>0</v>
      </c>
      <c r="S28" t="s">
        <v>30</v>
      </c>
      <c r="T28" s="6" t="s">
        <v>19</v>
      </c>
      <c r="U28" t="s">
        <v>231</v>
      </c>
      <c r="V28" t="s">
        <v>136</v>
      </c>
      <c r="W28" t="s">
        <v>46</v>
      </c>
      <c r="X28" t="s">
        <v>137</v>
      </c>
      <c r="Y28" s="6" t="s">
        <v>405</v>
      </c>
      <c r="AA28">
        <f>Table2[[#This Row],[burbot caught]]/(Table2[[#This Row],[No. in party]]*Table2[[#This Row],[sets]])</f>
        <v>0.5</v>
      </c>
    </row>
    <row r="29" spans="1:27" ht="27" customHeight="1" x14ac:dyDescent="0.2">
      <c r="A29">
        <v>28</v>
      </c>
      <c r="B29" s="1">
        <v>45139</v>
      </c>
      <c r="C29" s="2">
        <v>0.46875</v>
      </c>
      <c r="D29" s="32" t="s">
        <v>414</v>
      </c>
      <c r="E29" t="s">
        <v>138</v>
      </c>
      <c r="F29">
        <v>3</v>
      </c>
      <c r="G29" t="s">
        <v>14</v>
      </c>
      <c r="H29" s="2">
        <v>0.75</v>
      </c>
      <c r="I29" s="2">
        <v>0.35416666666666669</v>
      </c>
      <c r="J29" s="8">
        <v>2</v>
      </c>
      <c r="K29" s="8">
        <v>1</v>
      </c>
      <c r="L29" s="9">
        <f>14.5*3</f>
        <v>43.5</v>
      </c>
      <c r="M29" t="s">
        <v>14</v>
      </c>
      <c r="N29">
        <v>2</v>
      </c>
      <c r="O29">
        <f>Table2[[#This Row],[burbot caught]]/Table2[[#This Row],[Total hours]]</f>
        <v>4.5977011494252873E-2</v>
      </c>
      <c r="P29">
        <v>2</v>
      </c>
      <c r="Q29">
        <v>0</v>
      </c>
      <c r="R29">
        <v>1</v>
      </c>
      <c r="S29" t="s">
        <v>14</v>
      </c>
      <c r="T29" s="6" t="s">
        <v>19</v>
      </c>
      <c r="U29" t="s">
        <v>222</v>
      </c>
      <c r="V29" t="s">
        <v>41</v>
      </c>
      <c r="W29" t="s">
        <v>46</v>
      </c>
      <c r="X29" t="s">
        <v>307</v>
      </c>
      <c r="Y29" s="18" t="s">
        <v>404</v>
      </c>
      <c r="Z29" t="s">
        <v>139</v>
      </c>
      <c r="AA29">
        <f>Table2[[#This Row],[burbot caught]]/(Table2[[#This Row],[No. in party]]*Table2[[#This Row],[sets]])</f>
        <v>0.33333333333333331</v>
      </c>
    </row>
    <row r="30" spans="1:27" ht="27" customHeight="1" x14ac:dyDescent="0.2">
      <c r="A30">
        <v>29</v>
      </c>
      <c r="B30" s="1">
        <v>45140</v>
      </c>
      <c r="C30" s="2">
        <v>0.47222222222222227</v>
      </c>
      <c r="D30" s="32" t="s">
        <v>414</v>
      </c>
      <c r="E30" t="s">
        <v>143</v>
      </c>
      <c r="F30">
        <v>4</v>
      </c>
      <c r="G30" t="s">
        <v>14</v>
      </c>
      <c r="H30" s="2" t="s">
        <v>144</v>
      </c>
      <c r="I30" s="2">
        <v>0.41666666666666669</v>
      </c>
      <c r="J30" s="8">
        <v>1</v>
      </c>
      <c r="L30" s="9">
        <f>14*4</f>
        <v>56</v>
      </c>
      <c r="M30" t="s">
        <v>14</v>
      </c>
      <c r="N30">
        <v>2</v>
      </c>
      <c r="O30">
        <f>Table2[[#This Row],[burbot caught]]/Table2[[#This Row],[Total hours]]</f>
        <v>3.5714285714285712E-2</v>
      </c>
      <c r="P30">
        <v>2</v>
      </c>
      <c r="Q30">
        <v>0</v>
      </c>
      <c r="R30">
        <v>1</v>
      </c>
      <c r="S30" t="s">
        <v>14</v>
      </c>
      <c r="T30" s="6" t="s">
        <v>19</v>
      </c>
      <c r="U30" t="s">
        <v>232</v>
      </c>
      <c r="V30" t="s">
        <v>145</v>
      </c>
      <c r="W30" t="s">
        <v>46</v>
      </c>
      <c r="X30" t="s">
        <v>308</v>
      </c>
      <c r="Y30" s="10" t="s">
        <v>401</v>
      </c>
      <c r="AA30">
        <f>Table2[[#This Row],[burbot caught]]/(Table2[[#This Row],[No. in party]]*Table2[[#This Row],[sets]])</f>
        <v>0.5</v>
      </c>
    </row>
    <row r="31" spans="1:27" ht="27" customHeight="1" x14ac:dyDescent="0.2">
      <c r="A31">
        <v>30</v>
      </c>
      <c r="B31" s="1">
        <v>45141</v>
      </c>
      <c r="C31" s="2">
        <v>0.64583333333333337</v>
      </c>
      <c r="D31" s="32" t="s">
        <v>414</v>
      </c>
      <c r="E31" t="s">
        <v>147</v>
      </c>
      <c r="F31">
        <v>2</v>
      </c>
      <c r="G31" t="s">
        <v>14</v>
      </c>
      <c r="H31" s="2">
        <v>0.41666666666666669</v>
      </c>
      <c r="I31" s="2">
        <v>0.61458333333333337</v>
      </c>
      <c r="J31" s="8">
        <v>2</v>
      </c>
      <c r="K31" s="8">
        <v>1</v>
      </c>
      <c r="L31" s="9">
        <f>4.75*2*2</f>
        <v>19</v>
      </c>
      <c r="M31" t="s">
        <v>14</v>
      </c>
      <c r="N31">
        <v>1</v>
      </c>
      <c r="O31">
        <f>Table2[[#This Row],[burbot caught]]/Table2[[#This Row],[Total hours]]</f>
        <v>5.2631578947368418E-2</v>
      </c>
      <c r="P31">
        <v>1</v>
      </c>
      <c r="Q31">
        <v>0</v>
      </c>
      <c r="R31">
        <v>1</v>
      </c>
      <c r="S31" t="s">
        <v>14</v>
      </c>
      <c r="T31" s="6" t="s">
        <v>19</v>
      </c>
      <c r="U31" t="s">
        <v>224</v>
      </c>
      <c r="V31" t="s">
        <v>47</v>
      </c>
      <c r="W31" t="s">
        <v>46</v>
      </c>
      <c r="X31" t="s">
        <v>148</v>
      </c>
      <c r="Y31" s="10" t="s">
        <v>401</v>
      </c>
      <c r="AA31">
        <f>Table2[[#This Row],[burbot caught]]/(Table2[[#This Row],[No. in party]]*Table2[[#This Row],[sets]])</f>
        <v>0.25</v>
      </c>
    </row>
    <row r="32" spans="1:27" ht="27" customHeight="1" x14ac:dyDescent="0.2">
      <c r="A32">
        <v>31</v>
      </c>
      <c r="B32" s="1">
        <v>45142</v>
      </c>
      <c r="C32" s="2">
        <v>0.44791666666666669</v>
      </c>
      <c r="D32" s="32" t="s">
        <v>414</v>
      </c>
      <c r="E32" t="s">
        <v>149</v>
      </c>
      <c r="F32">
        <v>5</v>
      </c>
      <c r="G32" t="s">
        <v>14</v>
      </c>
      <c r="H32" s="2">
        <v>0.85416666666666663</v>
      </c>
      <c r="I32" s="2">
        <v>0.41666666666666669</v>
      </c>
      <c r="J32" s="8">
        <v>1</v>
      </c>
      <c r="L32" s="9">
        <f>13.5*5</f>
        <v>67.5</v>
      </c>
      <c r="M32" t="s">
        <v>14</v>
      </c>
      <c r="N32">
        <v>2</v>
      </c>
      <c r="O32">
        <f>Table2[[#This Row],[burbot caught]]/Table2[[#This Row],[Total hours]]</f>
        <v>2.9629629629629631E-2</v>
      </c>
      <c r="P32">
        <v>2</v>
      </c>
      <c r="Q32">
        <v>0</v>
      </c>
      <c r="R32">
        <v>0</v>
      </c>
      <c r="S32" t="s">
        <v>14</v>
      </c>
      <c r="T32" s="6" t="s">
        <v>19</v>
      </c>
      <c r="U32" t="s">
        <v>219</v>
      </c>
      <c r="V32" t="s">
        <v>20</v>
      </c>
      <c r="W32" t="s">
        <v>46</v>
      </c>
      <c r="X32" t="s">
        <v>309</v>
      </c>
      <c r="Y32" s="6" t="s">
        <v>405</v>
      </c>
      <c r="Z32" t="s">
        <v>364</v>
      </c>
      <c r="AA32">
        <f>Table2[[#This Row],[burbot caught]]/(Table2[[#This Row],[No. in party]]*Table2[[#This Row],[sets]])</f>
        <v>0.4</v>
      </c>
    </row>
    <row r="33" spans="1:27" ht="27" customHeight="1" x14ac:dyDescent="0.2">
      <c r="A33">
        <v>32</v>
      </c>
      <c r="B33" s="1">
        <v>45143</v>
      </c>
      <c r="C33" s="2">
        <v>0.58750000000000002</v>
      </c>
      <c r="D33" s="33" t="s">
        <v>415</v>
      </c>
      <c r="E33" t="s">
        <v>152</v>
      </c>
      <c r="F33">
        <v>2</v>
      </c>
      <c r="G33" t="s">
        <v>14</v>
      </c>
      <c r="H33" s="2">
        <v>0.8125</v>
      </c>
      <c r="I33" s="2">
        <v>0.4375</v>
      </c>
      <c r="J33" s="8">
        <v>1</v>
      </c>
      <c r="L33" s="9">
        <v>30</v>
      </c>
      <c r="M33" t="s">
        <v>14</v>
      </c>
      <c r="N33">
        <v>1</v>
      </c>
      <c r="O33">
        <f>Table2[[#This Row],[burbot caught]]/Table2[[#This Row],[Total hours]]</f>
        <v>3.3333333333333333E-2</v>
      </c>
      <c r="P33">
        <v>1</v>
      </c>
      <c r="Q33">
        <v>0</v>
      </c>
      <c r="R33">
        <v>0</v>
      </c>
      <c r="S33" t="s">
        <v>14</v>
      </c>
      <c r="T33" s="6" t="s">
        <v>19</v>
      </c>
      <c r="U33" t="s">
        <v>233</v>
      </c>
      <c r="V33" t="s">
        <v>153</v>
      </c>
      <c r="W33" t="s">
        <v>46</v>
      </c>
      <c r="X33" t="s">
        <v>310</v>
      </c>
      <c r="Y33" s="10" t="s">
        <v>401</v>
      </c>
      <c r="Z33" t="s">
        <v>365</v>
      </c>
      <c r="AA33">
        <f>Table2[[#This Row],[burbot caught]]/(Table2[[#This Row],[No. in party]]*Table2[[#This Row],[sets]])</f>
        <v>0.5</v>
      </c>
    </row>
    <row r="34" spans="1:27" ht="27" customHeight="1" x14ac:dyDescent="0.2">
      <c r="A34">
        <v>33</v>
      </c>
      <c r="B34" s="1">
        <v>45154</v>
      </c>
      <c r="C34" s="2">
        <v>0.375</v>
      </c>
      <c r="D34" s="32" t="s">
        <v>414</v>
      </c>
      <c r="E34" t="s">
        <v>156</v>
      </c>
      <c r="F34">
        <v>4</v>
      </c>
      <c r="G34" t="s">
        <v>14</v>
      </c>
      <c r="H34" s="2">
        <v>0.6875</v>
      </c>
      <c r="I34" s="2">
        <v>0.41666666666666669</v>
      </c>
      <c r="J34" s="8">
        <v>3</v>
      </c>
      <c r="K34" s="8">
        <v>3</v>
      </c>
      <c r="L34" s="9">
        <f xml:space="preserve"> 17.5*3</f>
        <v>52.5</v>
      </c>
      <c r="M34" t="s">
        <v>14</v>
      </c>
      <c r="N34">
        <v>1</v>
      </c>
      <c r="O34">
        <f>Table2[[#This Row],[burbot caught]]/Table2[[#This Row],[Total hours]]</f>
        <v>1.9047619047619049E-2</v>
      </c>
      <c r="P34">
        <v>1</v>
      </c>
      <c r="Q34">
        <v>0</v>
      </c>
      <c r="R34">
        <v>0</v>
      </c>
      <c r="S34" t="s">
        <v>14</v>
      </c>
      <c r="T34" s="6" t="s">
        <v>19</v>
      </c>
      <c r="U34" t="s">
        <v>224</v>
      </c>
      <c r="V34" t="s">
        <v>47</v>
      </c>
      <c r="W34" t="s">
        <v>46</v>
      </c>
      <c r="X34" t="s">
        <v>312</v>
      </c>
      <c r="Y34" s="10" t="s">
        <v>401</v>
      </c>
      <c r="Z34" t="s">
        <v>162</v>
      </c>
      <c r="AA34">
        <f>Table2[[#This Row],[burbot caught]]/(Table2[[#This Row],[No. in party]]*Table2[[#This Row],[sets]])</f>
        <v>8.3333333333333329E-2</v>
      </c>
    </row>
    <row r="35" spans="1:27" ht="27" customHeight="1" x14ac:dyDescent="0.2">
      <c r="A35">
        <v>34</v>
      </c>
      <c r="B35" s="1">
        <v>45156</v>
      </c>
      <c r="C35" s="2">
        <v>0.40277777777777773</v>
      </c>
      <c r="D35" s="32" t="s">
        <v>414</v>
      </c>
      <c r="E35" t="s">
        <v>164</v>
      </c>
      <c r="F35">
        <v>2</v>
      </c>
      <c r="G35" t="s">
        <v>14</v>
      </c>
      <c r="H35" s="2">
        <v>0.875</v>
      </c>
      <c r="I35" s="2">
        <v>0.90277777777777779</v>
      </c>
      <c r="J35" s="8">
        <v>1</v>
      </c>
      <c r="L35" s="10">
        <v>0.7</v>
      </c>
      <c r="M35" t="s">
        <v>14</v>
      </c>
      <c r="N35">
        <v>1</v>
      </c>
      <c r="O35">
        <f>Table2[[#This Row],[burbot caught]]/Table2[[#This Row],[Total hours]]</f>
        <v>1.4285714285714286</v>
      </c>
      <c r="P35">
        <v>1</v>
      </c>
      <c r="Q35">
        <v>0</v>
      </c>
      <c r="R35">
        <v>0</v>
      </c>
      <c r="S35" t="s">
        <v>30</v>
      </c>
      <c r="T35" s="7" t="s">
        <v>124</v>
      </c>
      <c r="U35" t="s">
        <v>233</v>
      </c>
      <c r="V35" t="s">
        <v>153</v>
      </c>
      <c r="W35" t="s">
        <v>46</v>
      </c>
      <c r="X35" t="s">
        <v>313</v>
      </c>
      <c r="Y35" s="18" t="s">
        <v>404</v>
      </c>
      <c r="AA35">
        <f>Table2[[#This Row],[burbot caught]]/(Table2[[#This Row],[No. in party]]*Table2[[#This Row],[sets]])</f>
        <v>0.5</v>
      </c>
    </row>
    <row r="36" spans="1:27" ht="27" customHeight="1" x14ac:dyDescent="0.2">
      <c r="A36">
        <v>35</v>
      </c>
      <c r="B36" s="1">
        <v>45158</v>
      </c>
      <c r="C36" s="2">
        <v>0.52430555555555558</v>
      </c>
      <c r="D36" s="33" t="s">
        <v>415</v>
      </c>
      <c r="E36" t="s">
        <v>161</v>
      </c>
      <c r="F36">
        <v>2</v>
      </c>
      <c r="G36" t="s">
        <v>14</v>
      </c>
      <c r="H36" s="2">
        <v>0.3125</v>
      </c>
      <c r="I36" s="2" t="s">
        <v>157</v>
      </c>
      <c r="J36" s="8">
        <v>2</v>
      </c>
      <c r="K36" s="8">
        <v>2</v>
      </c>
      <c r="L36" s="9">
        <f>23.25*4</f>
        <v>93</v>
      </c>
      <c r="M36" t="s">
        <v>14</v>
      </c>
      <c r="N36">
        <v>1</v>
      </c>
      <c r="O36">
        <f>Table2[[#This Row],[burbot caught]]/Table2[[#This Row],[Total hours]]</f>
        <v>1.0752688172043012E-2</v>
      </c>
      <c r="P36">
        <v>1</v>
      </c>
      <c r="Q36">
        <v>0</v>
      </c>
      <c r="R36">
        <v>0</v>
      </c>
      <c r="S36" t="s">
        <v>30</v>
      </c>
      <c r="T36" s="6" t="s">
        <v>19</v>
      </c>
      <c r="U36" t="s">
        <v>234</v>
      </c>
      <c r="V36" t="s">
        <v>158</v>
      </c>
      <c r="W36" t="s">
        <v>46</v>
      </c>
      <c r="X36" t="s">
        <v>311</v>
      </c>
      <c r="Y36" s="17" t="s">
        <v>402</v>
      </c>
      <c r="Z36" t="s">
        <v>366</v>
      </c>
      <c r="AA36">
        <f>Table2[[#This Row],[burbot caught]]/(Table2[[#This Row],[No. in party]]*Table2[[#This Row],[sets]])</f>
        <v>0.25</v>
      </c>
    </row>
    <row r="37" spans="1:27" ht="27" customHeight="1" x14ac:dyDescent="0.2">
      <c r="A37">
        <v>36</v>
      </c>
      <c r="B37" s="1">
        <v>45171</v>
      </c>
      <c r="C37" s="2">
        <v>0.54166666666666663</v>
      </c>
      <c r="D37" s="33" t="s">
        <v>415</v>
      </c>
      <c r="E37" t="s">
        <v>167</v>
      </c>
      <c r="F37">
        <v>2</v>
      </c>
      <c r="G37" t="s">
        <v>14</v>
      </c>
      <c r="H37" s="2">
        <v>0.75</v>
      </c>
      <c r="I37" s="2">
        <v>0.39583333333333331</v>
      </c>
      <c r="J37" s="8">
        <v>1</v>
      </c>
      <c r="K37" s="8">
        <v>1</v>
      </c>
      <c r="L37" s="9">
        <f>15.5*2</f>
        <v>31</v>
      </c>
      <c r="M37" t="s">
        <v>14</v>
      </c>
      <c r="N37">
        <v>0</v>
      </c>
      <c r="O37">
        <f>Table2[[#This Row],[burbot caught]]/Table2[[#This Row],[Total hours]]</f>
        <v>0</v>
      </c>
      <c r="P37">
        <v>0</v>
      </c>
      <c r="Q37">
        <v>0</v>
      </c>
      <c r="R37">
        <v>0</v>
      </c>
      <c r="S37" t="s">
        <v>30</v>
      </c>
      <c r="T37" s="6" t="s">
        <v>19</v>
      </c>
      <c r="U37" t="s">
        <v>222</v>
      </c>
      <c r="V37" t="s">
        <v>41</v>
      </c>
      <c r="W37" t="s">
        <v>46</v>
      </c>
      <c r="X37" t="s">
        <v>168</v>
      </c>
      <c r="Y37" s="17" t="s">
        <v>402</v>
      </c>
      <c r="Z37" t="s">
        <v>365</v>
      </c>
      <c r="AA37">
        <f>Table2[[#This Row],[burbot caught]]/(Table2[[#This Row],[No. in party]]*Table2[[#This Row],[sets]])</f>
        <v>0</v>
      </c>
    </row>
    <row r="38" spans="1:27" ht="27" customHeight="1" x14ac:dyDescent="0.2">
      <c r="A38">
        <v>37</v>
      </c>
      <c r="B38" s="1">
        <v>45171</v>
      </c>
      <c r="C38" s="2">
        <v>0.58333333333333337</v>
      </c>
      <c r="D38" s="33" t="s">
        <v>415</v>
      </c>
      <c r="E38" t="s">
        <v>170</v>
      </c>
      <c r="F38">
        <v>2</v>
      </c>
      <c r="G38" t="s">
        <v>14</v>
      </c>
      <c r="H38" s="2">
        <v>0.83333333333333337</v>
      </c>
      <c r="I38" s="2">
        <v>0.35416666666666669</v>
      </c>
      <c r="J38" s="8">
        <v>1</v>
      </c>
      <c r="L38" s="9">
        <f>12.5*2</f>
        <v>25</v>
      </c>
      <c r="M38" t="s">
        <v>14</v>
      </c>
      <c r="N38">
        <v>1</v>
      </c>
      <c r="O38">
        <f>Table2[[#This Row],[burbot caught]]/Table2[[#This Row],[Total hours]]</f>
        <v>0.04</v>
      </c>
      <c r="P38">
        <v>1</v>
      </c>
      <c r="Q38">
        <v>0</v>
      </c>
      <c r="R38">
        <v>0</v>
      </c>
      <c r="S38" t="s">
        <v>14</v>
      </c>
      <c r="T38" s="6" t="s">
        <v>19</v>
      </c>
      <c r="U38" t="s">
        <v>221</v>
      </c>
      <c r="V38" t="s">
        <v>39</v>
      </c>
      <c r="W38" t="s">
        <v>46</v>
      </c>
      <c r="X38" t="s">
        <v>171</v>
      </c>
      <c r="Y38" s="28" t="s">
        <v>408</v>
      </c>
      <c r="AA38">
        <f>Table2[[#This Row],[burbot caught]]/(Table2[[#This Row],[No. in party]]*Table2[[#This Row],[sets]])</f>
        <v>0.5</v>
      </c>
    </row>
    <row r="39" spans="1:27" ht="27" customHeight="1" x14ac:dyDescent="0.2">
      <c r="A39">
        <v>38</v>
      </c>
      <c r="B39" s="1">
        <v>45172</v>
      </c>
      <c r="C39" s="2">
        <v>0.70833333333333337</v>
      </c>
      <c r="D39" s="33" t="s">
        <v>415</v>
      </c>
      <c r="E39" t="s">
        <v>174</v>
      </c>
      <c r="F39">
        <v>6</v>
      </c>
      <c r="G39" t="s">
        <v>14</v>
      </c>
      <c r="H39" s="2" t="s">
        <v>175</v>
      </c>
      <c r="I39" s="2" t="s">
        <v>176</v>
      </c>
      <c r="J39" s="8">
        <v>5</v>
      </c>
      <c r="K39" s="8">
        <v>3</v>
      </c>
      <c r="L39" s="9">
        <f>36.5*6</f>
        <v>219</v>
      </c>
      <c r="M39" t="s">
        <v>14</v>
      </c>
      <c r="N39">
        <v>11</v>
      </c>
      <c r="O39">
        <f>Table2[[#This Row],[burbot caught]]/Table2[[#This Row],[Total hours]]</f>
        <v>5.0228310502283102E-2</v>
      </c>
      <c r="P39">
        <v>11</v>
      </c>
      <c r="Q39">
        <v>0</v>
      </c>
      <c r="R39">
        <v>0</v>
      </c>
      <c r="S39" t="s">
        <v>30</v>
      </c>
      <c r="T39" s="6" t="s">
        <v>19</v>
      </c>
      <c r="U39" t="s">
        <v>235</v>
      </c>
      <c r="V39" t="s">
        <v>41</v>
      </c>
      <c r="W39" t="s">
        <v>53</v>
      </c>
      <c r="X39" t="s">
        <v>314</v>
      </c>
      <c r="Y39" s="28" t="s">
        <v>408</v>
      </c>
      <c r="Z39" t="s">
        <v>367</v>
      </c>
      <c r="AA39">
        <f>Table2[[#This Row],[burbot caught]]/(Table2[[#This Row],[No. in party]]*Table2[[#This Row],[sets]])</f>
        <v>0.36666666666666664</v>
      </c>
    </row>
    <row r="40" spans="1:27" x14ac:dyDescent="0.2">
      <c r="B40" s="1"/>
      <c r="C40" s="2"/>
      <c r="D40" s="2"/>
      <c r="H40" s="2"/>
      <c r="I40" s="2"/>
      <c r="L40">
        <f>SUM(Table2[Total hours])</f>
        <v>1787.45</v>
      </c>
      <c r="M40">
        <f>SUM(L4:L39)</f>
        <v>1715.45</v>
      </c>
      <c r="N40">
        <f>SUM(N2:N39)</f>
        <v>59</v>
      </c>
      <c r="O40">
        <f>AVERAGE(O2:O39)</f>
        <v>0.12880706548040002</v>
      </c>
      <c r="P40">
        <f>SUM(Table2[burbot kept])</f>
        <v>58</v>
      </c>
      <c r="AA40" t="e">
        <f>AVERAGE(AA2:AA36)</f>
        <v>#VALUE!</v>
      </c>
    </row>
    <row r="41" spans="1:27" x14ac:dyDescent="0.2">
      <c r="L41">
        <f>AVERAGE(Table2[Total hours])</f>
        <v>48.309459459459461</v>
      </c>
      <c r="N41" t="s">
        <v>418</v>
      </c>
    </row>
    <row r="42" spans="1:27" x14ac:dyDescent="0.2">
      <c r="N42">
        <f>Table2[[#Totals],[burbot caught]]/Table2[[#Totals],[Burbot fishing Y/N]]</f>
        <v>3.4393307878399254E-2</v>
      </c>
    </row>
    <row r="44" spans="1:27" x14ac:dyDescent="0.2">
      <c r="J44"/>
      <c r="K44"/>
    </row>
    <row r="45" spans="1:27" x14ac:dyDescent="0.2">
      <c r="J45"/>
      <c r="K45"/>
    </row>
    <row r="46" spans="1:27" x14ac:dyDescent="0.2">
      <c r="J46"/>
      <c r="K46"/>
    </row>
    <row r="47" spans="1:27" x14ac:dyDescent="0.2">
      <c r="J47"/>
      <c r="K47"/>
    </row>
    <row r="48" spans="1:27" x14ac:dyDescent="0.2">
      <c r="J48"/>
      <c r="K48"/>
    </row>
    <row r="49" spans="10:11" x14ac:dyDescent="0.2">
      <c r="J49"/>
      <c r="K4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32B1-E190-4E4D-869F-4F3414675C8F}">
  <dimension ref="A1:J42"/>
  <sheetViews>
    <sheetView zoomScale="90" zoomScaleNormal="90" workbookViewId="0">
      <selection activeCell="D10" sqref="D10"/>
    </sheetView>
  </sheetViews>
  <sheetFormatPr baseColWidth="10" defaultRowHeight="16" x14ac:dyDescent="0.2"/>
  <cols>
    <col min="1" max="1" width="12.5" customWidth="1"/>
    <col min="2" max="2" width="32.1640625" customWidth="1"/>
    <col min="3" max="3" width="30.1640625" customWidth="1"/>
    <col min="4" max="4" width="27.1640625" customWidth="1"/>
    <col min="5" max="5" width="24.1640625" customWidth="1"/>
    <col min="6" max="6" width="23.1640625" customWidth="1"/>
    <col min="7" max="7" width="22.5" customWidth="1"/>
    <col min="8" max="8" width="33.83203125" customWidth="1"/>
    <col min="9" max="9" width="36" customWidth="1"/>
    <col min="10" max="10" width="55.1640625" customWidth="1"/>
  </cols>
  <sheetData>
    <row r="1" spans="1:10" ht="64" customHeight="1" x14ac:dyDescent="0.2">
      <c r="A1" t="s">
        <v>2</v>
      </c>
      <c r="B1" t="s">
        <v>74</v>
      </c>
      <c r="C1" s="11" t="s">
        <v>67</v>
      </c>
      <c r="D1" s="11" t="s">
        <v>68</v>
      </c>
      <c r="E1" s="11" t="s">
        <v>69</v>
      </c>
      <c r="F1" s="11" t="s">
        <v>12</v>
      </c>
      <c r="G1" s="11" t="s">
        <v>70</v>
      </c>
      <c r="H1" s="11" t="s">
        <v>71</v>
      </c>
      <c r="I1" s="11" t="s">
        <v>390</v>
      </c>
      <c r="J1" s="11" t="s">
        <v>63</v>
      </c>
    </row>
    <row r="2" spans="1:10" ht="30" customHeight="1" x14ac:dyDescent="0.2">
      <c r="A2" s="14" t="s">
        <v>120</v>
      </c>
      <c r="B2" s="14" t="s">
        <v>108</v>
      </c>
      <c r="C2" s="13">
        <v>0.625</v>
      </c>
      <c r="D2" s="14" t="s">
        <v>52</v>
      </c>
      <c r="E2" s="14" t="s">
        <v>72</v>
      </c>
      <c r="F2" s="14" t="s">
        <v>90</v>
      </c>
      <c r="G2" s="14" t="s">
        <v>73</v>
      </c>
      <c r="H2" s="14" t="s">
        <v>121</v>
      </c>
      <c r="I2" s="27" t="s">
        <v>398</v>
      </c>
      <c r="J2" s="14" t="s">
        <v>122</v>
      </c>
    </row>
    <row r="3" spans="1:10" ht="30" customHeight="1" x14ac:dyDescent="0.2">
      <c r="A3" s="14" t="s">
        <v>50</v>
      </c>
      <c r="B3" s="14" t="s">
        <v>108</v>
      </c>
      <c r="C3" s="14" t="s">
        <v>46</v>
      </c>
      <c r="D3" s="14" t="s">
        <v>46</v>
      </c>
      <c r="E3" s="14" t="s">
        <v>86</v>
      </c>
      <c r="F3" s="14" t="s">
        <v>73</v>
      </c>
      <c r="G3" s="14" t="s">
        <v>82</v>
      </c>
      <c r="H3" s="14" t="s">
        <v>338</v>
      </c>
      <c r="I3" s="27" t="s">
        <v>393</v>
      </c>
      <c r="J3" s="14" t="s">
        <v>377</v>
      </c>
    </row>
    <row r="4" spans="1:10" ht="30" customHeight="1" x14ac:dyDescent="0.2">
      <c r="A4" s="14" t="s">
        <v>43</v>
      </c>
      <c r="B4" s="14" t="s">
        <v>108</v>
      </c>
      <c r="C4" s="14" t="s">
        <v>93</v>
      </c>
      <c r="D4" s="14" t="s">
        <v>95</v>
      </c>
      <c r="E4" s="14" t="s">
        <v>72</v>
      </c>
      <c r="F4" s="14" t="s">
        <v>90</v>
      </c>
      <c r="G4" s="14" t="s">
        <v>73</v>
      </c>
      <c r="H4" s="14" t="s">
        <v>96</v>
      </c>
      <c r="I4" s="21" t="s">
        <v>394</v>
      </c>
      <c r="J4" s="14" t="s">
        <v>399</v>
      </c>
    </row>
    <row r="5" spans="1:10" ht="30" customHeight="1" x14ac:dyDescent="0.2">
      <c r="A5" s="14" t="s">
        <v>58</v>
      </c>
      <c r="B5" s="14" t="s">
        <v>108</v>
      </c>
      <c r="C5" s="14" t="s">
        <v>46</v>
      </c>
      <c r="D5" s="14" t="s">
        <v>46</v>
      </c>
      <c r="E5" s="14" t="s">
        <v>72</v>
      </c>
      <c r="F5" s="14" t="s">
        <v>73</v>
      </c>
      <c r="G5" s="14" t="s">
        <v>82</v>
      </c>
      <c r="H5" s="14" t="s">
        <v>104</v>
      </c>
      <c r="I5" s="21" t="s">
        <v>394</v>
      </c>
      <c r="J5" s="14" t="s">
        <v>378</v>
      </c>
    </row>
    <row r="6" spans="1:10" ht="30" customHeight="1" x14ac:dyDescent="0.2">
      <c r="A6" s="14" t="s">
        <v>117</v>
      </c>
      <c r="B6" s="14" t="s">
        <v>108</v>
      </c>
      <c r="C6" s="14" t="s">
        <v>118</v>
      </c>
      <c r="D6" s="14" t="s">
        <v>119</v>
      </c>
      <c r="E6" s="14" t="s">
        <v>72</v>
      </c>
      <c r="F6" s="14" t="s">
        <v>90</v>
      </c>
      <c r="G6" s="14" t="s">
        <v>73</v>
      </c>
      <c r="H6" s="14" t="s">
        <v>343</v>
      </c>
      <c r="I6" s="21" t="s">
        <v>394</v>
      </c>
      <c r="J6" s="14" t="s">
        <v>326</v>
      </c>
    </row>
    <row r="7" spans="1:10" ht="30" customHeight="1" x14ac:dyDescent="0.2">
      <c r="A7" s="14" t="s">
        <v>38</v>
      </c>
      <c r="B7" s="14" t="s">
        <v>108</v>
      </c>
      <c r="C7" s="13">
        <v>0.85416666666666663</v>
      </c>
      <c r="D7" s="14" t="s">
        <v>91</v>
      </c>
      <c r="E7" s="14" t="s">
        <v>86</v>
      </c>
      <c r="F7" s="14" t="s">
        <v>73</v>
      </c>
      <c r="G7" s="14" t="s">
        <v>82</v>
      </c>
      <c r="H7" s="14" t="s">
        <v>334</v>
      </c>
      <c r="I7" s="24" t="s">
        <v>392</v>
      </c>
      <c r="J7" s="14" t="s">
        <v>373</v>
      </c>
    </row>
    <row r="8" spans="1:10" ht="30" customHeight="1" x14ac:dyDescent="0.2">
      <c r="A8" s="14" t="s">
        <v>114</v>
      </c>
      <c r="B8" s="14" t="s">
        <v>108</v>
      </c>
      <c r="C8" s="14" t="s">
        <v>115</v>
      </c>
      <c r="D8" s="13">
        <v>0.375</v>
      </c>
      <c r="E8" s="14" t="s">
        <v>72</v>
      </c>
      <c r="F8" s="14" t="s">
        <v>90</v>
      </c>
      <c r="G8" s="14" t="s">
        <v>132</v>
      </c>
      <c r="H8" s="14" t="s">
        <v>116</v>
      </c>
      <c r="I8" s="24" t="s">
        <v>395</v>
      </c>
      <c r="J8" s="14" t="s">
        <v>379</v>
      </c>
    </row>
    <row r="9" spans="1:10" ht="30" customHeight="1" x14ac:dyDescent="0.2">
      <c r="A9" s="14" t="s">
        <v>61</v>
      </c>
      <c r="B9" s="14" t="s">
        <v>108</v>
      </c>
      <c r="C9" s="14" t="s">
        <v>93</v>
      </c>
      <c r="D9" s="14" t="s">
        <v>109</v>
      </c>
      <c r="E9" s="14" t="s">
        <v>86</v>
      </c>
      <c r="F9" s="14" t="s">
        <v>73</v>
      </c>
      <c r="G9" s="14" t="s">
        <v>82</v>
      </c>
      <c r="H9" s="14" t="s">
        <v>46</v>
      </c>
      <c r="I9" s="26" t="s">
        <v>46</v>
      </c>
      <c r="J9" s="14"/>
    </row>
    <row r="10" spans="1:10" ht="30" customHeight="1" x14ac:dyDescent="0.2">
      <c r="A10" s="14" t="s">
        <v>112</v>
      </c>
      <c r="B10" s="14" t="s">
        <v>108</v>
      </c>
      <c r="C10" s="13">
        <v>0.91666666666666663</v>
      </c>
      <c r="D10" s="14" t="s">
        <v>46</v>
      </c>
      <c r="E10" s="14" t="s">
        <v>86</v>
      </c>
      <c r="F10" s="14" t="s">
        <v>73</v>
      </c>
      <c r="G10" s="14" t="s">
        <v>82</v>
      </c>
      <c r="H10" s="14" t="s">
        <v>46</v>
      </c>
      <c r="I10" s="26" t="s">
        <v>46</v>
      </c>
      <c r="J10" s="14"/>
    </row>
    <row r="11" spans="1:10" ht="30" customHeight="1" x14ac:dyDescent="0.2">
      <c r="A11" s="14" t="s">
        <v>156</v>
      </c>
      <c r="B11" s="14" t="s">
        <v>108</v>
      </c>
      <c r="C11" s="13">
        <v>0.70833333333333337</v>
      </c>
      <c r="D11" s="14" t="s">
        <v>163</v>
      </c>
      <c r="E11" s="14" t="s">
        <v>86</v>
      </c>
      <c r="F11" s="14" t="s">
        <v>90</v>
      </c>
      <c r="G11" s="14" t="s">
        <v>82</v>
      </c>
      <c r="H11" s="14" t="s">
        <v>46</v>
      </c>
      <c r="I11" s="26" t="s">
        <v>46</v>
      </c>
      <c r="J11" s="14"/>
    </row>
    <row r="12" spans="1:10" ht="30" customHeight="1" x14ac:dyDescent="0.2">
      <c r="A12" s="14" t="s">
        <v>27</v>
      </c>
      <c r="B12" s="14" t="s">
        <v>108</v>
      </c>
      <c r="C12" s="14" t="s">
        <v>85</v>
      </c>
      <c r="D12" s="14" t="s">
        <v>52</v>
      </c>
      <c r="E12" s="14" t="s">
        <v>86</v>
      </c>
      <c r="F12" s="14" t="s">
        <v>87</v>
      </c>
      <c r="G12" s="14" t="s">
        <v>87</v>
      </c>
      <c r="H12" s="14" t="s">
        <v>46</v>
      </c>
      <c r="I12" s="26" t="s">
        <v>46</v>
      </c>
      <c r="J12" s="14" t="s">
        <v>376</v>
      </c>
    </row>
    <row r="13" spans="1:10" ht="30" customHeight="1" x14ac:dyDescent="0.2">
      <c r="A13" s="14" t="s">
        <v>37</v>
      </c>
      <c r="B13" s="14" t="s">
        <v>108</v>
      </c>
      <c r="C13" s="13">
        <v>0.66666666666666663</v>
      </c>
      <c r="D13" s="13">
        <v>0.875</v>
      </c>
      <c r="E13" s="14" t="s">
        <v>86</v>
      </c>
      <c r="F13" s="14" t="s">
        <v>90</v>
      </c>
      <c r="G13" s="14" t="s">
        <v>73</v>
      </c>
      <c r="H13" s="14" t="s">
        <v>46</v>
      </c>
      <c r="I13" s="26" t="s">
        <v>46</v>
      </c>
      <c r="J13" s="14"/>
    </row>
    <row r="14" spans="1:10" ht="30" customHeight="1" x14ac:dyDescent="0.2">
      <c r="A14" s="14" t="s">
        <v>40</v>
      </c>
      <c r="B14" s="14" t="s">
        <v>108</v>
      </c>
      <c r="C14" s="14" t="s">
        <v>93</v>
      </c>
      <c r="D14" s="14" t="s">
        <v>46</v>
      </c>
      <c r="E14" s="14" t="s">
        <v>72</v>
      </c>
      <c r="F14" s="14" t="s">
        <v>82</v>
      </c>
      <c r="G14" s="14" t="s">
        <v>82</v>
      </c>
      <c r="H14" s="14" t="s">
        <v>46</v>
      </c>
      <c r="I14" s="26" t="s">
        <v>46</v>
      </c>
      <c r="J14" s="14" t="s">
        <v>326</v>
      </c>
    </row>
    <row r="15" spans="1:10" ht="30" customHeight="1" x14ac:dyDescent="0.2">
      <c r="A15" s="14" t="s">
        <v>51</v>
      </c>
      <c r="B15" s="14" t="s">
        <v>108</v>
      </c>
      <c r="C15" s="14" t="s">
        <v>85</v>
      </c>
      <c r="D15" s="14" t="s">
        <v>52</v>
      </c>
      <c r="E15" s="14" t="s">
        <v>86</v>
      </c>
      <c r="F15" s="14" t="s">
        <v>73</v>
      </c>
      <c r="G15" s="14" t="s">
        <v>82</v>
      </c>
      <c r="H15" s="14" t="s">
        <v>339</v>
      </c>
      <c r="I15" s="23" t="s">
        <v>382</v>
      </c>
      <c r="J15" s="14" t="s">
        <v>374</v>
      </c>
    </row>
    <row r="16" spans="1:10" ht="30" customHeight="1" x14ac:dyDescent="0.2">
      <c r="A16" s="14" t="s">
        <v>123</v>
      </c>
      <c r="B16" s="14" t="s">
        <v>108</v>
      </c>
      <c r="C16" s="13">
        <v>0.83333333333333337</v>
      </c>
      <c r="D16" s="13">
        <v>0.33333333333333331</v>
      </c>
      <c r="E16" s="14" t="s">
        <v>86</v>
      </c>
      <c r="F16" s="14" t="s">
        <v>132</v>
      </c>
      <c r="G16" s="14" t="s">
        <v>82</v>
      </c>
      <c r="H16" s="14" t="s">
        <v>328</v>
      </c>
      <c r="I16" s="23" t="s">
        <v>382</v>
      </c>
      <c r="J16" s="14" t="s">
        <v>133</v>
      </c>
    </row>
    <row r="17" spans="1:10" ht="30" customHeight="1" x14ac:dyDescent="0.2">
      <c r="A17" s="14" t="s">
        <v>147</v>
      </c>
      <c r="B17" s="14" t="s">
        <v>108</v>
      </c>
      <c r="C17" s="13">
        <v>0.75</v>
      </c>
      <c r="D17" s="13">
        <v>0.41666666666666669</v>
      </c>
      <c r="E17" s="14" t="s">
        <v>72</v>
      </c>
      <c r="F17" s="14" t="s">
        <v>99</v>
      </c>
      <c r="G17" s="14" t="s">
        <v>82</v>
      </c>
      <c r="H17" s="14" t="s">
        <v>328</v>
      </c>
      <c r="I17" s="23" t="s">
        <v>382</v>
      </c>
      <c r="J17" s="14"/>
    </row>
    <row r="18" spans="1:10" ht="30" customHeight="1" x14ac:dyDescent="0.2">
      <c r="A18" s="14" t="s">
        <v>164</v>
      </c>
      <c r="B18" s="14" t="s">
        <v>108</v>
      </c>
      <c r="C18" s="14" t="s">
        <v>46</v>
      </c>
      <c r="D18" s="14" t="s">
        <v>46</v>
      </c>
      <c r="E18" s="14" t="s">
        <v>86</v>
      </c>
      <c r="F18" s="14" t="s">
        <v>73</v>
      </c>
      <c r="G18" s="14" t="s">
        <v>82</v>
      </c>
      <c r="H18" s="14" t="s">
        <v>165</v>
      </c>
      <c r="I18" s="23" t="s">
        <v>382</v>
      </c>
      <c r="J18" s="14" t="s">
        <v>166</v>
      </c>
    </row>
    <row r="19" spans="1:10" ht="30" customHeight="1" x14ac:dyDescent="0.2">
      <c r="A19" s="14" t="s">
        <v>161</v>
      </c>
      <c r="B19" s="14" t="s">
        <v>108</v>
      </c>
      <c r="C19" s="14" t="s">
        <v>85</v>
      </c>
      <c r="D19" s="14" t="s">
        <v>52</v>
      </c>
      <c r="E19" s="14" t="s">
        <v>86</v>
      </c>
      <c r="F19" s="14" t="s">
        <v>132</v>
      </c>
      <c r="G19" s="14" t="s">
        <v>82</v>
      </c>
      <c r="H19" s="14" t="s">
        <v>159</v>
      </c>
      <c r="I19" s="23" t="s">
        <v>382</v>
      </c>
      <c r="J19" s="14" t="s">
        <v>160</v>
      </c>
    </row>
    <row r="20" spans="1:10" ht="30" customHeight="1" x14ac:dyDescent="0.2">
      <c r="A20" s="14" t="s">
        <v>167</v>
      </c>
      <c r="B20" s="14" t="s">
        <v>108</v>
      </c>
      <c r="C20" s="13">
        <v>0.75</v>
      </c>
      <c r="D20" s="14" t="s">
        <v>169</v>
      </c>
      <c r="E20" s="14" t="s">
        <v>72</v>
      </c>
      <c r="F20" s="14" t="s">
        <v>73</v>
      </c>
      <c r="G20" s="14" t="s">
        <v>82</v>
      </c>
      <c r="H20" s="14" t="s">
        <v>328</v>
      </c>
      <c r="I20" s="23" t="s">
        <v>382</v>
      </c>
      <c r="J20" s="14"/>
    </row>
    <row r="21" spans="1:10" ht="30" customHeight="1" x14ac:dyDescent="0.2">
      <c r="A21" s="14" t="s">
        <v>57</v>
      </c>
      <c r="B21" s="14" t="s">
        <v>108</v>
      </c>
      <c r="C21" s="14" t="s">
        <v>46</v>
      </c>
      <c r="D21" s="14" t="s">
        <v>46</v>
      </c>
      <c r="E21" s="14" t="s">
        <v>86</v>
      </c>
      <c r="F21" s="14" t="s">
        <v>73</v>
      </c>
      <c r="G21" s="14" t="s">
        <v>82</v>
      </c>
      <c r="H21" s="14" t="s">
        <v>103</v>
      </c>
      <c r="I21" s="22" t="s">
        <v>391</v>
      </c>
      <c r="J21" s="14" t="s">
        <v>375</v>
      </c>
    </row>
    <row r="22" spans="1:10" ht="30" customHeight="1" x14ac:dyDescent="0.2">
      <c r="A22" s="14" t="s">
        <v>22</v>
      </c>
      <c r="B22" s="14" t="s">
        <v>108</v>
      </c>
      <c r="C22" s="14" t="s">
        <v>76</v>
      </c>
      <c r="D22" s="14" t="s">
        <v>76</v>
      </c>
      <c r="E22" s="14" t="s">
        <v>72</v>
      </c>
      <c r="F22" s="14" t="s">
        <v>73</v>
      </c>
      <c r="G22" s="14" t="s">
        <v>73</v>
      </c>
      <c r="H22" s="14" t="s">
        <v>330</v>
      </c>
      <c r="I22" s="22" t="s">
        <v>391</v>
      </c>
      <c r="J22" s="14"/>
    </row>
    <row r="23" spans="1:10" ht="30" customHeight="1" x14ac:dyDescent="0.2">
      <c r="A23" s="14" t="s">
        <v>135</v>
      </c>
      <c r="B23" s="14" t="s">
        <v>108</v>
      </c>
      <c r="C23" s="14" t="s">
        <v>93</v>
      </c>
      <c r="D23" s="13">
        <v>0.33333333333333331</v>
      </c>
      <c r="E23" s="14" t="s">
        <v>72</v>
      </c>
      <c r="F23" s="14" t="s">
        <v>90</v>
      </c>
      <c r="G23" s="14" t="s">
        <v>82</v>
      </c>
      <c r="H23" s="14" t="s">
        <v>344</v>
      </c>
      <c r="I23" s="25" t="s">
        <v>396</v>
      </c>
      <c r="J23" s="14"/>
    </row>
    <row r="24" spans="1:10" ht="30" customHeight="1" x14ac:dyDescent="0.2">
      <c r="A24" s="14" t="s">
        <v>174</v>
      </c>
      <c r="B24" s="14" t="s">
        <v>108</v>
      </c>
      <c r="C24" s="13">
        <v>0.8125</v>
      </c>
      <c r="D24" s="13">
        <v>0.33333333333333331</v>
      </c>
      <c r="E24" s="14" t="s">
        <v>86</v>
      </c>
      <c r="F24" s="14" t="s">
        <v>73</v>
      </c>
      <c r="G24" s="14" t="s">
        <v>82</v>
      </c>
      <c r="H24" s="14" t="s">
        <v>359</v>
      </c>
      <c r="I24" s="25" t="s">
        <v>396</v>
      </c>
      <c r="J24" s="14" t="s">
        <v>177</v>
      </c>
    </row>
    <row r="25" spans="1:10" ht="30" customHeight="1" x14ac:dyDescent="0.2">
      <c r="A25" s="14" t="s">
        <v>143</v>
      </c>
      <c r="B25" s="14" t="s">
        <v>238</v>
      </c>
      <c r="C25" s="13">
        <v>0.75</v>
      </c>
      <c r="D25" s="13">
        <v>0.41666666666666669</v>
      </c>
      <c r="E25" s="14" t="s">
        <v>72</v>
      </c>
      <c r="F25" s="14" t="s">
        <v>90</v>
      </c>
      <c r="G25" s="14" t="s">
        <v>82</v>
      </c>
      <c r="H25" s="14" t="s">
        <v>347</v>
      </c>
      <c r="I25" s="21" t="s">
        <v>394</v>
      </c>
      <c r="J25" s="14" t="s">
        <v>146</v>
      </c>
    </row>
    <row r="26" spans="1:10" ht="30" customHeight="1" x14ac:dyDescent="0.2">
      <c r="A26" s="14" t="s">
        <v>152</v>
      </c>
      <c r="B26" s="14" t="s">
        <v>238</v>
      </c>
      <c r="C26" s="14" t="s">
        <v>154</v>
      </c>
      <c r="D26" s="14" t="s">
        <v>155</v>
      </c>
      <c r="E26" s="14" t="s">
        <v>86</v>
      </c>
      <c r="F26" s="14" t="s">
        <v>73</v>
      </c>
      <c r="G26" s="14" t="s">
        <v>82</v>
      </c>
      <c r="H26" s="14" t="s">
        <v>351</v>
      </c>
      <c r="I26" s="24" t="s">
        <v>392</v>
      </c>
      <c r="J26" s="14"/>
    </row>
    <row r="27" spans="1:10" ht="30" customHeight="1" x14ac:dyDescent="0.2">
      <c r="A27" s="14" t="s">
        <v>170</v>
      </c>
      <c r="B27" s="14" t="s">
        <v>238</v>
      </c>
      <c r="C27" s="14" t="s">
        <v>172</v>
      </c>
      <c r="D27" s="14" t="s">
        <v>52</v>
      </c>
      <c r="E27" s="14" t="s">
        <v>86</v>
      </c>
      <c r="F27" s="14" t="s">
        <v>73</v>
      </c>
      <c r="G27" s="14" t="s">
        <v>82</v>
      </c>
      <c r="H27" s="14" t="s">
        <v>358</v>
      </c>
      <c r="I27" s="14" t="s">
        <v>397</v>
      </c>
      <c r="J27" s="14"/>
    </row>
    <row r="28" spans="1:10" ht="30" customHeight="1" x14ac:dyDescent="0.2">
      <c r="A28" s="14" t="s">
        <v>64</v>
      </c>
      <c r="B28" s="14" t="s">
        <v>238</v>
      </c>
      <c r="C28" s="14" t="s">
        <v>110</v>
      </c>
      <c r="D28" s="14" t="s">
        <v>111</v>
      </c>
      <c r="E28" s="14" t="s">
        <v>72</v>
      </c>
      <c r="F28" s="14" t="s">
        <v>73</v>
      </c>
      <c r="G28" s="14" t="s">
        <v>82</v>
      </c>
      <c r="H28" s="14" t="s">
        <v>46</v>
      </c>
      <c r="I28" s="26" t="s">
        <v>46</v>
      </c>
      <c r="J28" s="14"/>
    </row>
    <row r="29" spans="1:10" ht="30" customHeight="1" x14ac:dyDescent="0.2">
      <c r="A29" s="14" t="s">
        <v>31</v>
      </c>
      <c r="B29" s="14" t="s">
        <v>238</v>
      </c>
      <c r="C29" s="13">
        <v>0.70833333333333337</v>
      </c>
      <c r="D29" s="13">
        <v>0.375</v>
      </c>
      <c r="E29" s="14" t="s">
        <v>86</v>
      </c>
      <c r="F29" s="14" t="s">
        <v>73</v>
      </c>
      <c r="G29" s="14" t="s">
        <v>73</v>
      </c>
      <c r="H29" s="14" t="s">
        <v>328</v>
      </c>
      <c r="I29" s="23" t="s">
        <v>382</v>
      </c>
      <c r="J29" s="14"/>
    </row>
    <row r="30" spans="1:10" ht="30" customHeight="1" x14ac:dyDescent="0.2">
      <c r="A30" s="12" t="s">
        <v>13</v>
      </c>
      <c r="B30" s="12" t="s">
        <v>238</v>
      </c>
      <c r="C30" s="13">
        <v>0.79166666666666663</v>
      </c>
      <c r="D30" s="13">
        <v>0.29166666666666669</v>
      </c>
      <c r="E30" s="14" t="s">
        <v>72</v>
      </c>
      <c r="F30" s="14" t="s">
        <v>73</v>
      </c>
      <c r="G30" s="14" t="s">
        <v>73</v>
      </c>
      <c r="H30" s="14" t="s">
        <v>329</v>
      </c>
      <c r="I30" s="22" t="s">
        <v>391</v>
      </c>
      <c r="J30" s="14"/>
    </row>
    <row r="31" spans="1:10" ht="30" customHeight="1" x14ac:dyDescent="0.2">
      <c r="A31" s="14" t="s">
        <v>45</v>
      </c>
      <c r="B31" s="14" t="s">
        <v>238</v>
      </c>
      <c r="C31" s="14" t="s">
        <v>98</v>
      </c>
      <c r="D31" s="14" t="s">
        <v>52</v>
      </c>
      <c r="E31" s="14" t="s">
        <v>86</v>
      </c>
      <c r="F31" s="14" t="s">
        <v>99</v>
      </c>
      <c r="G31" s="14" t="s">
        <v>82</v>
      </c>
      <c r="H31" s="14" t="s">
        <v>337</v>
      </c>
      <c r="I31" s="22" t="s">
        <v>391</v>
      </c>
      <c r="J31" s="14"/>
    </row>
    <row r="32" spans="1:10" ht="30" customHeight="1" x14ac:dyDescent="0.2">
      <c r="A32" s="14" t="s">
        <v>55</v>
      </c>
      <c r="B32" s="14" t="s">
        <v>238</v>
      </c>
      <c r="C32" s="13">
        <v>0.25</v>
      </c>
      <c r="D32" s="13">
        <v>0.79166666666666663</v>
      </c>
      <c r="E32" s="14" t="s">
        <v>86</v>
      </c>
      <c r="F32" s="14" t="s">
        <v>73</v>
      </c>
      <c r="G32" s="14" t="s">
        <v>82</v>
      </c>
      <c r="H32" s="14" t="s">
        <v>341</v>
      </c>
      <c r="I32" s="22" t="s">
        <v>391</v>
      </c>
      <c r="J32" s="14"/>
    </row>
    <row r="33" spans="1:10" ht="30" customHeight="1" x14ac:dyDescent="0.2">
      <c r="A33" s="14" t="s">
        <v>149</v>
      </c>
      <c r="B33" s="14" t="s">
        <v>238</v>
      </c>
      <c r="C33" s="14" t="s">
        <v>150</v>
      </c>
      <c r="D33" s="14" t="s">
        <v>91</v>
      </c>
      <c r="E33" s="14" t="s">
        <v>86</v>
      </c>
      <c r="F33" s="14" t="s">
        <v>90</v>
      </c>
      <c r="G33" s="14" t="s">
        <v>82</v>
      </c>
      <c r="H33" s="14" t="s">
        <v>350</v>
      </c>
      <c r="I33" s="22" t="s">
        <v>391</v>
      </c>
      <c r="J33" s="14"/>
    </row>
    <row r="34" spans="1:10" ht="30" customHeight="1" x14ac:dyDescent="0.2">
      <c r="A34" s="14" t="s">
        <v>25</v>
      </c>
      <c r="B34" s="12" t="s">
        <v>238</v>
      </c>
      <c r="C34" s="13">
        <v>0.41666666666666669</v>
      </c>
      <c r="D34" s="13">
        <v>0.41666666666666669</v>
      </c>
      <c r="E34" s="14" t="s">
        <v>72</v>
      </c>
      <c r="F34" s="14" t="s">
        <v>73</v>
      </c>
      <c r="G34" s="14" t="s">
        <v>82</v>
      </c>
      <c r="H34" s="14" t="s">
        <v>331</v>
      </c>
      <c r="I34" s="22" t="s">
        <v>391</v>
      </c>
      <c r="J34" s="14"/>
    </row>
    <row r="35" spans="1:10" ht="30" customHeight="1" x14ac:dyDescent="0.2">
      <c r="A35" s="14" t="s">
        <v>138</v>
      </c>
      <c r="B35" s="14" t="s">
        <v>237</v>
      </c>
      <c r="C35" s="14" t="s">
        <v>93</v>
      </c>
      <c r="D35" s="14" t="s">
        <v>52</v>
      </c>
      <c r="E35" s="14" t="s">
        <v>86</v>
      </c>
      <c r="F35" s="14" t="s">
        <v>73</v>
      </c>
      <c r="G35" s="14" t="s">
        <v>141</v>
      </c>
      <c r="H35" s="14" t="s">
        <v>46</v>
      </c>
      <c r="I35" s="26" t="s">
        <v>46</v>
      </c>
      <c r="J35" s="14"/>
    </row>
    <row r="42" spans="1:10" x14ac:dyDescent="0.2">
      <c r="E42">
        <f>3/26*100</f>
        <v>11.538461538461538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E904-59BE-C549-B767-BB2BC62443A7}">
  <dimension ref="A1:G35"/>
  <sheetViews>
    <sheetView topLeftCell="F1" workbookViewId="0">
      <selection activeCell="B2" sqref="B2"/>
    </sheetView>
  </sheetViews>
  <sheetFormatPr baseColWidth="10" defaultRowHeight="16" x14ac:dyDescent="0.2"/>
  <cols>
    <col min="1" max="1" width="13.1640625" customWidth="1"/>
    <col min="2" max="2" width="49.5" customWidth="1"/>
    <col min="3" max="4" width="66.1640625" customWidth="1"/>
    <col min="5" max="6" width="76.5" customWidth="1"/>
    <col min="7" max="7" width="28.1640625" customWidth="1"/>
  </cols>
  <sheetData>
    <row r="1" spans="1:7" x14ac:dyDescent="0.2">
      <c r="A1" t="s">
        <v>2</v>
      </c>
      <c r="B1" t="s">
        <v>77</v>
      </c>
      <c r="C1" t="s">
        <v>78</v>
      </c>
      <c r="D1" t="s">
        <v>381</v>
      </c>
      <c r="E1" t="s">
        <v>79</v>
      </c>
      <c r="F1" t="s">
        <v>387</v>
      </c>
      <c r="G1" t="s">
        <v>63</v>
      </c>
    </row>
    <row r="2" spans="1:7" x14ac:dyDescent="0.2">
      <c r="A2" t="s">
        <v>13</v>
      </c>
      <c r="B2" t="s">
        <v>239</v>
      </c>
      <c r="C2" t="s">
        <v>327</v>
      </c>
      <c r="D2" s="19" t="s">
        <v>384</v>
      </c>
      <c r="E2" t="s">
        <v>328</v>
      </c>
      <c r="F2" s="6" t="s">
        <v>382</v>
      </c>
    </row>
    <row r="3" spans="1:7" x14ac:dyDescent="0.2">
      <c r="A3" t="s">
        <v>43</v>
      </c>
      <c r="B3" t="s">
        <v>238</v>
      </c>
      <c r="C3" t="s">
        <v>328</v>
      </c>
      <c r="D3" s="6" t="s">
        <v>382</v>
      </c>
      <c r="E3" t="s">
        <v>97</v>
      </c>
      <c r="F3" s="6" t="s">
        <v>382</v>
      </c>
    </row>
    <row r="4" spans="1:7" x14ac:dyDescent="0.2">
      <c r="A4" t="s">
        <v>45</v>
      </c>
      <c r="B4" t="s">
        <v>239</v>
      </c>
      <c r="C4" t="s">
        <v>100</v>
      </c>
      <c r="D4" s="17" t="s">
        <v>386</v>
      </c>
      <c r="E4" t="s">
        <v>101</v>
      </c>
      <c r="F4" s="6" t="s">
        <v>382</v>
      </c>
      <c r="G4" t="s">
        <v>380</v>
      </c>
    </row>
    <row r="5" spans="1:7" x14ac:dyDescent="0.2">
      <c r="A5" t="s">
        <v>50</v>
      </c>
      <c r="B5" t="s">
        <v>108</v>
      </c>
      <c r="C5" t="s">
        <v>328</v>
      </c>
      <c r="D5" s="6" t="s">
        <v>382</v>
      </c>
      <c r="E5" t="s">
        <v>46</v>
      </c>
      <c r="F5" s="20" t="s">
        <v>46</v>
      </c>
      <c r="G5" t="s">
        <v>102</v>
      </c>
    </row>
    <row r="6" spans="1:7" x14ac:dyDescent="0.2">
      <c r="A6" t="s">
        <v>51</v>
      </c>
      <c r="B6" t="s">
        <v>238</v>
      </c>
      <c r="C6" t="s">
        <v>328</v>
      </c>
      <c r="D6" s="6" t="s">
        <v>382</v>
      </c>
      <c r="E6" t="s">
        <v>328</v>
      </c>
      <c r="F6" s="6" t="s">
        <v>382</v>
      </c>
    </row>
    <row r="7" spans="1:7" x14ac:dyDescent="0.2">
      <c r="A7" t="s">
        <v>55</v>
      </c>
      <c r="B7" t="s">
        <v>108</v>
      </c>
      <c r="C7" t="s">
        <v>340</v>
      </c>
      <c r="D7" s="17" t="s">
        <v>386</v>
      </c>
      <c r="E7" t="s">
        <v>328</v>
      </c>
      <c r="F7" s="6" t="s">
        <v>382</v>
      </c>
    </row>
    <row r="8" spans="1:7" x14ac:dyDescent="0.2">
      <c r="A8" t="s">
        <v>57</v>
      </c>
      <c r="B8" t="s">
        <v>108</v>
      </c>
      <c r="C8" t="s">
        <v>328</v>
      </c>
      <c r="D8" s="6" t="s">
        <v>382</v>
      </c>
      <c r="E8" t="s">
        <v>46</v>
      </c>
      <c r="F8" s="20" t="s">
        <v>46</v>
      </c>
    </row>
    <row r="9" spans="1:7" x14ac:dyDescent="0.2">
      <c r="A9" t="s">
        <v>58</v>
      </c>
      <c r="B9" t="s">
        <v>46</v>
      </c>
      <c r="C9" t="s">
        <v>105</v>
      </c>
      <c r="D9" s="17" t="s">
        <v>386</v>
      </c>
      <c r="E9" t="s">
        <v>106</v>
      </c>
      <c r="F9" s="6" t="s">
        <v>382</v>
      </c>
      <c r="G9" t="s">
        <v>107</v>
      </c>
    </row>
    <row r="10" spans="1:7" x14ac:dyDescent="0.2">
      <c r="A10" t="s">
        <v>61</v>
      </c>
      <c r="B10" t="s">
        <v>238</v>
      </c>
      <c r="C10" t="s">
        <v>328</v>
      </c>
      <c r="D10" s="6" t="s">
        <v>382</v>
      </c>
      <c r="E10" t="s">
        <v>328</v>
      </c>
      <c r="F10" s="6" t="s">
        <v>382</v>
      </c>
    </row>
    <row r="11" spans="1:7" x14ac:dyDescent="0.2">
      <c r="A11" t="s">
        <v>64</v>
      </c>
      <c r="B11" t="s">
        <v>245</v>
      </c>
      <c r="C11" t="s">
        <v>328</v>
      </c>
      <c r="D11" s="6" t="s">
        <v>382</v>
      </c>
      <c r="E11" t="s">
        <v>328</v>
      </c>
      <c r="F11" s="6" t="s">
        <v>382</v>
      </c>
    </row>
    <row r="12" spans="1:7" x14ac:dyDescent="0.2">
      <c r="A12" t="s">
        <v>112</v>
      </c>
      <c r="B12" t="s">
        <v>238</v>
      </c>
      <c r="C12" t="s">
        <v>113</v>
      </c>
      <c r="D12" s="6" t="s">
        <v>382</v>
      </c>
      <c r="E12" t="s">
        <v>328</v>
      </c>
      <c r="F12" s="6" t="s">
        <v>382</v>
      </c>
    </row>
    <row r="13" spans="1:7" x14ac:dyDescent="0.2">
      <c r="A13" t="s">
        <v>22</v>
      </c>
      <c r="B13" t="s">
        <v>245</v>
      </c>
      <c r="C13" t="s">
        <v>328</v>
      </c>
      <c r="D13" s="15" t="s">
        <v>382</v>
      </c>
      <c r="E13" t="s">
        <v>328</v>
      </c>
      <c r="F13" s="6" t="s">
        <v>382</v>
      </c>
    </row>
    <row r="14" spans="1:7" x14ac:dyDescent="0.2">
      <c r="A14" t="s">
        <v>114</v>
      </c>
      <c r="B14" t="s">
        <v>108</v>
      </c>
      <c r="C14" t="s">
        <v>46</v>
      </c>
      <c r="D14" s="20" t="s">
        <v>46</v>
      </c>
      <c r="E14" t="s">
        <v>342</v>
      </c>
      <c r="F14" s="6" t="s">
        <v>382</v>
      </c>
    </row>
    <row r="15" spans="1:7" x14ac:dyDescent="0.2">
      <c r="A15" t="s">
        <v>117</v>
      </c>
      <c r="B15" t="s">
        <v>108</v>
      </c>
      <c r="C15" t="s">
        <v>328</v>
      </c>
      <c r="D15" s="6" t="s">
        <v>382</v>
      </c>
      <c r="E15" t="s">
        <v>342</v>
      </c>
      <c r="F15" s="6" t="s">
        <v>382</v>
      </c>
    </row>
    <row r="16" spans="1:7" x14ac:dyDescent="0.2">
      <c r="A16" t="s">
        <v>120</v>
      </c>
      <c r="B16" t="s">
        <v>108</v>
      </c>
      <c r="C16" t="s">
        <v>328</v>
      </c>
      <c r="D16" s="6" t="s">
        <v>382</v>
      </c>
      <c r="E16" t="s">
        <v>328</v>
      </c>
      <c r="F16" s="6" t="s">
        <v>382</v>
      </c>
    </row>
    <row r="17" spans="1:7" x14ac:dyDescent="0.2">
      <c r="A17" t="s">
        <v>123</v>
      </c>
      <c r="B17" t="s">
        <v>238</v>
      </c>
      <c r="C17" t="s">
        <v>134</v>
      </c>
      <c r="D17" s="6" t="s">
        <v>382</v>
      </c>
      <c r="E17" t="s">
        <v>328</v>
      </c>
      <c r="F17" s="6" t="s">
        <v>382</v>
      </c>
    </row>
    <row r="18" spans="1:7" x14ac:dyDescent="0.2">
      <c r="A18" t="s">
        <v>135</v>
      </c>
      <c r="B18" t="s">
        <v>239</v>
      </c>
      <c r="C18" t="s">
        <v>345</v>
      </c>
      <c r="D18" s="18" t="s">
        <v>385</v>
      </c>
      <c r="E18" t="s">
        <v>328</v>
      </c>
      <c r="F18" s="6" t="s">
        <v>382</v>
      </c>
    </row>
    <row r="19" spans="1:7" x14ac:dyDescent="0.2">
      <c r="A19" t="s">
        <v>138</v>
      </c>
      <c r="B19" t="s">
        <v>239</v>
      </c>
      <c r="C19" t="s">
        <v>346</v>
      </c>
      <c r="D19" s="6" t="s">
        <v>382</v>
      </c>
      <c r="E19" t="s">
        <v>142</v>
      </c>
      <c r="F19" s="6" t="s">
        <v>382</v>
      </c>
    </row>
    <row r="20" spans="1:7" x14ac:dyDescent="0.2">
      <c r="A20" t="s">
        <v>143</v>
      </c>
      <c r="B20" t="s">
        <v>238</v>
      </c>
      <c r="C20" t="s">
        <v>328</v>
      </c>
      <c r="D20" s="6" t="s">
        <v>382</v>
      </c>
      <c r="E20" t="s">
        <v>328</v>
      </c>
      <c r="F20" s="6" t="s">
        <v>382</v>
      </c>
    </row>
    <row r="21" spans="1:7" x14ac:dyDescent="0.2">
      <c r="A21" t="s">
        <v>147</v>
      </c>
      <c r="B21" t="s">
        <v>238</v>
      </c>
      <c r="C21" t="s">
        <v>348</v>
      </c>
      <c r="D21" s="6" t="s">
        <v>382</v>
      </c>
      <c r="E21" t="s">
        <v>349</v>
      </c>
      <c r="F21" s="19" t="s">
        <v>388</v>
      </c>
    </row>
    <row r="22" spans="1:7" x14ac:dyDescent="0.2">
      <c r="A22" t="s">
        <v>149</v>
      </c>
      <c r="B22" t="s">
        <v>239</v>
      </c>
      <c r="C22" t="s">
        <v>151</v>
      </c>
      <c r="D22" s="6" t="s">
        <v>382</v>
      </c>
      <c r="E22" t="s">
        <v>328</v>
      </c>
      <c r="F22" s="6" t="s">
        <v>382</v>
      </c>
    </row>
    <row r="23" spans="1:7" x14ac:dyDescent="0.2">
      <c r="A23" t="s">
        <v>152</v>
      </c>
      <c r="B23" t="s">
        <v>108</v>
      </c>
      <c r="C23" t="s">
        <v>352</v>
      </c>
      <c r="D23" s="6" t="s">
        <v>382</v>
      </c>
      <c r="E23" t="s">
        <v>353</v>
      </c>
      <c r="F23" s="6" t="s">
        <v>382</v>
      </c>
    </row>
    <row r="24" spans="1:7" x14ac:dyDescent="0.2">
      <c r="A24" t="s">
        <v>25</v>
      </c>
      <c r="B24" t="s">
        <v>108</v>
      </c>
      <c r="C24" t="s">
        <v>83</v>
      </c>
      <c r="D24" s="18" t="s">
        <v>385</v>
      </c>
      <c r="E24" t="s">
        <v>332</v>
      </c>
      <c r="F24" s="6" t="s">
        <v>382</v>
      </c>
    </row>
    <row r="25" spans="1:7" x14ac:dyDescent="0.2">
      <c r="A25" t="s">
        <v>156</v>
      </c>
      <c r="B25" t="s">
        <v>238</v>
      </c>
      <c r="C25" t="s">
        <v>332</v>
      </c>
      <c r="D25" s="6" t="s">
        <v>382</v>
      </c>
      <c r="E25" t="s">
        <v>354</v>
      </c>
      <c r="F25" s="20" t="s">
        <v>46</v>
      </c>
    </row>
    <row r="26" spans="1:7" x14ac:dyDescent="0.2">
      <c r="A26" t="s">
        <v>164</v>
      </c>
      <c r="B26" t="s">
        <v>108</v>
      </c>
      <c r="C26" t="s">
        <v>417</v>
      </c>
      <c r="D26" s="17" t="s">
        <v>386</v>
      </c>
      <c r="E26" t="s">
        <v>328</v>
      </c>
      <c r="F26" s="6" t="s">
        <v>382</v>
      </c>
    </row>
    <row r="27" spans="1:7" x14ac:dyDescent="0.2">
      <c r="A27" t="s">
        <v>161</v>
      </c>
      <c r="B27" t="s">
        <v>245</v>
      </c>
      <c r="C27" t="s">
        <v>328</v>
      </c>
      <c r="D27" s="6" t="s">
        <v>382</v>
      </c>
      <c r="E27" t="s">
        <v>356</v>
      </c>
      <c r="F27" s="16" t="s">
        <v>389</v>
      </c>
    </row>
    <row r="28" spans="1:7" x14ac:dyDescent="0.2">
      <c r="A28" t="s">
        <v>167</v>
      </c>
      <c r="B28" t="s">
        <v>108</v>
      </c>
      <c r="C28" t="s">
        <v>328</v>
      </c>
      <c r="D28" s="6" t="s">
        <v>382</v>
      </c>
      <c r="E28" t="s">
        <v>46</v>
      </c>
      <c r="F28" s="20" t="s">
        <v>46</v>
      </c>
    </row>
    <row r="29" spans="1:7" x14ac:dyDescent="0.2">
      <c r="A29" t="s">
        <v>170</v>
      </c>
      <c r="B29" t="s">
        <v>245</v>
      </c>
      <c r="C29" t="s">
        <v>173</v>
      </c>
      <c r="D29" s="17" t="s">
        <v>386</v>
      </c>
      <c r="E29" t="s">
        <v>357</v>
      </c>
      <c r="F29" s="6" t="s">
        <v>382</v>
      </c>
    </row>
    <row r="30" spans="1:7" x14ac:dyDescent="0.2">
      <c r="A30" t="s">
        <v>174</v>
      </c>
      <c r="B30" t="s">
        <v>238</v>
      </c>
      <c r="C30" t="s">
        <v>328</v>
      </c>
      <c r="D30" s="6" t="s">
        <v>382</v>
      </c>
      <c r="E30" t="s">
        <v>360</v>
      </c>
      <c r="F30" s="19" t="s">
        <v>388</v>
      </c>
    </row>
    <row r="31" spans="1:7" x14ac:dyDescent="0.2">
      <c r="A31" t="s">
        <v>27</v>
      </c>
      <c r="B31" t="s">
        <v>46</v>
      </c>
      <c r="C31" t="s">
        <v>46</v>
      </c>
      <c r="D31" s="20" t="s">
        <v>46</v>
      </c>
      <c r="E31" t="s">
        <v>46</v>
      </c>
      <c r="F31" s="20" t="s">
        <v>46</v>
      </c>
      <c r="G31" t="s">
        <v>88</v>
      </c>
    </row>
    <row r="32" spans="1:7" x14ac:dyDescent="0.2">
      <c r="A32" t="s">
        <v>31</v>
      </c>
      <c r="B32" t="s">
        <v>238</v>
      </c>
      <c r="C32" t="s">
        <v>328</v>
      </c>
      <c r="D32" s="6" t="s">
        <v>382</v>
      </c>
      <c r="E32" t="s">
        <v>328</v>
      </c>
      <c r="F32" s="6" t="s">
        <v>382</v>
      </c>
    </row>
    <row r="33" spans="1:7" x14ac:dyDescent="0.2">
      <c r="A33" t="s">
        <v>37</v>
      </c>
      <c r="B33" t="s">
        <v>238</v>
      </c>
      <c r="C33" t="s">
        <v>333</v>
      </c>
      <c r="D33" s="6" t="s">
        <v>382</v>
      </c>
      <c r="E33" t="s">
        <v>328</v>
      </c>
      <c r="F33" s="6" t="s">
        <v>382</v>
      </c>
    </row>
    <row r="34" spans="1:7" x14ac:dyDescent="0.2">
      <c r="A34" t="s">
        <v>38</v>
      </c>
      <c r="B34" t="s">
        <v>245</v>
      </c>
      <c r="C34" t="s">
        <v>335</v>
      </c>
      <c r="D34" s="6" t="s">
        <v>382</v>
      </c>
      <c r="E34" t="s">
        <v>336</v>
      </c>
      <c r="F34" s="18" t="s">
        <v>385</v>
      </c>
      <c r="G34" t="s">
        <v>92</v>
      </c>
    </row>
    <row r="35" spans="1:7" x14ac:dyDescent="0.2">
      <c r="A35" t="s">
        <v>40</v>
      </c>
      <c r="B35" t="s">
        <v>108</v>
      </c>
      <c r="C35" t="s">
        <v>94</v>
      </c>
      <c r="D35" s="6" t="s">
        <v>382</v>
      </c>
      <c r="E35" t="s">
        <v>46</v>
      </c>
      <c r="F35" s="20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C98A-BDED-2A40-A368-A987F257D838}">
  <dimension ref="A1:H35"/>
  <sheetViews>
    <sheetView workbookViewId="0">
      <selection activeCell="F19" sqref="F19"/>
    </sheetView>
  </sheetViews>
  <sheetFormatPr baseColWidth="10" defaultRowHeight="16" x14ac:dyDescent="0.2"/>
  <cols>
    <col min="1" max="1" width="13.1640625" customWidth="1"/>
    <col min="2" max="2" width="24.1640625" customWidth="1"/>
    <col min="3" max="3" width="28.5" customWidth="1"/>
    <col min="4" max="4" width="29" customWidth="1"/>
    <col min="5" max="5" width="30" customWidth="1"/>
    <col min="6" max="6" width="26.6640625" customWidth="1"/>
    <col min="7" max="7" width="20.83203125" customWidth="1"/>
    <col min="8" max="8" width="11.33203125" customWidth="1"/>
  </cols>
  <sheetData>
    <row r="1" spans="1:8" x14ac:dyDescent="0.2">
      <c r="A1" t="s">
        <v>2</v>
      </c>
      <c r="B1" t="s">
        <v>200</v>
      </c>
      <c r="C1" t="s">
        <v>201</v>
      </c>
      <c r="D1" t="s">
        <v>202</v>
      </c>
      <c r="E1" t="s">
        <v>205</v>
      </c>
      <c r="F1" t="s">
        <v>203</v>
      </c>
      <c r="G1" t="s">
        <v>204</v>
      </c>
      <c r="H1" t="s">
        <v>63</v>
      </c>
    </row>
    <row r="2" spans="1:8" x14ac:dyDescent="0.2">
      <c r="A2" t="s">
        <v>138</v>
      </c>
      <c r="B2" s="18" t="s">
        <v>238</v>
      </c>
      <c r="C2" s="17" t="s">
        <v>108</v>
      </c>
      <c r="D2" s="29" t="s">
        <v>239</v>
      </c>
      <c r="E2" s="18" t="s">
        <v>238</v>
      </c>
      <c r="F2" s="19" t="s">
        <v>237</v>
      </c>
      <c r="G2" s="30" t="s">
        <v>240</v>
      </c>
    </row>
    <row r="3" spans="1:8" x14ac:dyDescent="0.2">
      <c r="A3" t="s">
        <v>13</v>
      </c>
      <c r="B3" s="19" t="s">
        <v>237</v>
      </c>
      <c r="C3" s="18" t="s">
        <v>238</v>
      </c>
      <c r="D3" s="29" t="s">
        <v>239</v>
      </c>
      <c r="E3" s="18" t="s">
        <v>238</v>
      </c>
      <c r="F3" s="19" t="s">
        <v>237</v>
      </c>
      <c r="G3" s="30" t="s">
        <v>240</v>
      </c>
    </row>
    <row r="4" spans="1:8" x14ac:dyDescent="0.2">
      <c r="A4" t="s">
        <v>43</v>
      </c>
      <c r="B4" s="19" t="s">
        <v>237</v>
      </c>
      <c r="C4" s="18" t="s">
        <v>238</v>
      </c>
      <c r="D4" s="29" t="s">
        <v>239</v>
      </c>
      <c r="E4" s="18" t="s">
        <v>238</v>
      </c>
      <c r="F4" s="18" t="s">
        <v>238</v>
      </c>
      <c r="G4" s="31" t="s">
        <v>266</v>
      </c>
    </row>
    <row r="5" spans="1:8" x14ac:dyDescent="0.2">
      <c r="A5" t="s">
        <v>45</v>
      </c>
      <c r="B5" s="29" t="s">
        <v>245</v>
      </c>
      <c r="C5" s="18" t="s">
        <v>238</v>
      </c>
      <c r="D5" s="29" t="s">
        <v>239</v>
      </c>
      <c r="E5" s="18" t="s">
        <v>238</v>
      </c>
      <c r="F5" s="10" t="s">
        <v>239</v>
      </c>
      <c r="G5" s="31" t="s">
        <v>266</v>
      </c>
    </row>
    <row r="6" spans="1:8" x14ac:dyDescent="0.2">
      <c r="A6" t="s">
        <v>50</v>
      </c>
      <c r="B6" s="18" t="s">
        <v>238</v>
      </c>
      <c r="C6" s="18" t="s">
        <v>238</v>
      </c>
      <c r="D6" s="29" t="s">
        <v>239</v>
      </c>
      <c r="E6" s="18" t="s">
        <v>238</v>
      </c>
      <c r="F6" s="29" t="s">
        <v>245</v>
      </c>
      <c r="G6" s="31" t="s">
        <v>266</v>
      </c>
    </row>
    <row r="7" spans="1:8" x14ac:dyDescent="0.2">
      <c r="A7" t="s">
        <v>55</v>
      </c>
      <c r="B7" s="18" t="s">
        <v>238</v>
      </c>
      <c r="C7" s="18" t="s">
        <v>238</v>
      </c>
      <c r="D7" s="29" t="s">
        <v>239</v>
      </c>
      <c r="E7" s="17" t="s">
        <v>108</v>
      </c>
      <c r="F7" s="19" t="s">
        <v>237</v>
      </c>
      <c r="G7" s="19" t="s">
        <v>237</v>
      </c>
    </row>
    <row r="8" spans="1:8" x14ac:dyDescent="0.2">
      <c r="A8" t="s">
        <v>57</v>
      </c>
      <c r="B8" s="19" t="s">
        <v>237</v>
      </c>
      <c r="C8" s="18" t="s">
        <v>238</v>
      </c>
      <c r="D8" s="29" t="s">
        <v>239</v>
      </c>
      <c r="E8" s="17" t="s">
        <v>108</v>
      </c>
      <c r="F8" s="19" t="s">
        <v>237</v>
      </c>
      <c r="G8" s="31" t="s">
        <v>266</v>
      </c>
    </row>
    <row r="9" spans="1:8" x14ac:dyDescent="0.2">
      <c r="A9" t="s">
        <v>58</v>
      </c>
      <c r="B9" s="19" t="s">
        <v>237</v>
      </c>
      <c r="C9" s="18" t="s">
        <v>238</v>
      </c>
      <c r="D9" s="29" t="s">
        <v>239</v>
      </c>
      <c r="E9" s="18" t="s">
        <v>238</v>
      </c>
      <c r="F9" s="29" t="s">
        <v>245</v>
      </c>
      <c r="G9" s="30" t="s">
        <v>240</v>
      </c>
    </row>
    <row r="10" spans="1:8" x14ac:dyDescent="0.2">
      <c r="A10" t="s">
        <v>64</v>
      </c>
      <c r="B10" s="19" t="s">
        <v>237</v>
      </c>
      <c r="C10" s="18" t="s">
        <v>238</v>
      </c>
      <c r="D10" s="29" t="s">
        <v>239</v>
      </c>
      <c r="E10" s="18" t="s">
        <v>238</v>
      </c>
      <c r="F10" s="19" t="s">
        <v>237</v>
      </c>
      <c r="G10" s="30" t="s">
        <v>240</v>
      </c>
    </row>
    <row r="11" spans="1:8" x14ac:dyDescent="0.2">
      <c r="A11" t="s">
        <v>112</v>
      </c>
      <c r="B11" s="17" t="s">
        <v>108</v>
      </c>
      <c r="C11" s="18" t="s">
        <v>238</v>
      </c>
      <c r="D11" s="29" t="s">
        <v>239</v>
      </c>
      <c r="E11" s="18" t="s">
        <v>238</v>
      </c>
      <c r="F11" s="18" t="s">
        <v>238</v>
      </c>
      <c r="G11" s="31" t="s">
        <v>266</v>
      </c>
    </row>
    <row r="12" spans="1:8" x14ac:dyDescent="0.2">
      <c r="A12" t="s">
        <v>114</v>
      </c>
      <c r="B12" s="17" t="s">
        <v>108</v>
      </c>
      <c r="C12" s="18" t="s">
        <v>238</v>
      </c>
      <c r="D12" s="17" t="s">
        <v>108</v>
      </c>
      <c r="E12" s="18" t="s">
        <v>238</v>
      </c>
      <c r="F12" s="18" t="s">
        <v>238</v>
      </c>
      <c r="G12" s="10" t="s">
        <v>239</v>
      </c>
    </row>
    <row r="13" spans="1:8" x14ac:dyDescent="0.2">
      <c r="A13" t="s">
        <v>117</v>
      </c>
      <c r="B13" s="18" t="s">
        <v>238</v>
      </c>
      <c r="C13" s="18" t="s">
        <v>238</v>
      </c>
      <c r="D13" s="29" t="s">
        <v>239</v>
      </c>
      <c r="E13" s="18" t="s">
        <v>238</v>
      </c>
      <c r="F13" s="29" t="s">
        <v>245</v>
      </c>
      <c r="G13" s="17" t="s">
        <v>259</v>
      </c>
    </row>
    <row r="14" spans="1:8" x14ac:dyDescent="0.2">
      <c r="A14" t="s">
        <v>120</v>
      </c>
      <c r="B14" s="18" t="s">
        <v>238</v>
      </c>
      <c r="C14" s="18" t="s">
        <v>238</v>
      </c>
      <c r="D14" s="10" t="s">
        <v>240</v>
      </c>
      <c r="E14" s="18" t="s">
        <v>238</v>
      </c>
      <c r="F14" s="19" t="s">
        <v>237</v>
      </c>
      <c r="G14" s="31" t="s">
        <v>266</v>
      </c>
    </row>
    <row r="15" spans="1:8" x14ac:dyDescent="0.2">
      <c r="A15" t="s">
        <v>123</v>
      </c>
      <c r="B15" s="17" t="s">
        <v>108</v>
      </c>
      <c r="C15" s="18" t="s">
        <v>238</v>
      </c>
      <c r="D15" s="29" t="s">
        <v>239</v>
      </c>
      <c r="E15" s="17" t="s">
        <v>108</v>
      </c>
      <c r="F15" s="18" t="s">
        <v>238</v>
      </c>
      <c r="G15" s="30" t="s">
        <v>240</v>
      </c>
    </row>
    <row r="16" spans="1:8" x14ac:dyDescent="0.2">
      <c r="A16" t="s">
        <v>143</v>
      </c>
      <c r="B16" s="18" t="s">
        <v>238</v>
      </c>
      <c r="C16" s="18" t="s">
        <v>238</v>
      </c>
      <c r="D16" s="29" t="s">
        <v>239</v>
      </c>
      <c r="E16" s="17" t="s">
        <v>108</v>
      </c>
      <c r="F16" s="19" t="s">
        <v>237</v>
      </c>
      <c r="G16" s="31" t="s">
        <v>266</v>
      </c>
    </row>
    <row r="17" spans="1:8" x14ac:dyDescent="0.2">
      <c r="A17" t="s">
        <v>147</v>
      </c>
      <c r="B17" s="19" t="s">
        <v>237</v>
      </c>
      <c r="C17" s="18" t="s">
        <v>238</v>
      </c>
      <c r="D17" s="29" t="s">
        <v>239</v>
      </c>
      <c r="E17" s="18" t="s">
        <v>238</v>
      </c>
      <c r="F17" s="19" t="s">
        <v>237</v>
      </c>
      <c r="G17" s="29" t="s">
        <v>245</v>
      </c>
    </row>
    <row r="18" spans="1:8" x14ac:dyDescent="0.2">
      <c r="A18" t="s">
        <v>149</v>
      </c>
      <c r="B18" s="18" t="s">
        <v>238</v>
      </c>
      <c r="C18" s="18" t="s">
        <v>238</v>
      </c>
      <c r="D18" s="29" t="s">
        <v>239</v>
      </c>
      <c r="E18" s="18" t="s">
        <v>238</v>
      </c>
      <c r="F18" s="29" t="s">
        <v>245</v>
      </c>
      <c r="G18" s="10" t="s">
        <v>239</v>
      </c>
    </row>
    <row r="19" spans="1:8" x14ac:dyDescent="0.2">
      <c r="A19" t="s">
        <v>156</v>
      </c>
      <c r="B19" s="18" t="s">
        <v>238</v>
      </c>
      <c r="C19" s="18" t="s">
        <v>238</v>
      </c>
      <c r="D19" s="29" t="s">
        <v>239</v>
      </c>
      <c r="E19" s="18" t="s">
        <v>238</v>
      </c>
      <c r="F19" s="30" t="s">
        <v>259</v>
      </c>
      <c r="G19" s="30" t="s">
        <v>240</v>
      </c>
    </row>
    <row r="20" spans="1:8" x14ac:dyDescent="0.2">
      <c r="A20" t="s">
        <v>164</v>
      </c>
      <c r="B20" s="17" t="s">
        <v>108</v>
      </c>
      <c r="C20" s="18" t="s">
        <v>238</v>
      </c>
      <c r="D20" s="29" t="s">
        <v>239</v>
      </c>
      <c r="E20" s="18" t="s">
        <v>238</v>
      </c>
      <c r="F20" s="19" t="s">
        <v>237</v>
      </c>
      <c r="G20" s="29" t="s">
        <v>245</v>
      </c>
    </row>
    <row r="21" spans="1:8" x14ac:dyDescent="0.2">
      <c r="A21" t="s">
        <v>161</v>
      </c>
      <c r="B21" s="18" t="s">
        <v>238</v>
      </c>
      <c r="C21" s="18" t="s">
        <v>238</v>
      </c>
      <c r="D21" s="29" t="s">
        <v>239</v>
      </c>
      <c r="E21" s="18" t="s">
        <v>238</v>
      </c>
      <c r="F21" s="29" t="s">
        <v>245</v>
      </c>
      <c r="G21" s="17" t="s">
        <v>259</v>
      </c>
    </row>
    <row r="22" spans="1:8" x14ac:dyDescent="0.2">
      <c r="A22" t="s">
        <v>167</v>
      </c>
      <c r="B22" s="18" t="s">
        <v>238</v>
      </c>
      <c r="C22" s="18" t="s">
        <v>238</v>
      </c>
      <c r="D22" s="29" t="s">
        <v>239</v>
      </c>
      <c r="E22" s="18" t="s">
        <v>238</v>
      </c>
      <c r="F22" s="29" t="s">
        <v>245</v>
      </c>
      <c r="G22" s="17" t="s">
        <v>259</v>
      </c>
    </row>
    <row r="23" spans="1:8" x14ac:dyDescent="0.2">
      <c r="A23" t="s">
        <v>170</v>
      </c>
      <c r="B23" s="18" t="s">
        <v>238</v>
      </c>
      <c r="C23" s="18" t="s">
        <v>238</v>
      </c>
      <c r="D23" s="19" t="s">
        <v>237</v>
      </c>
      <c r="E23" s="17" t="s">
        <v>108</v>
      </c>
      <c r="F23" s="29" t="s">
        <v>245</v>
      </c>
      <c r="G23" s="30" t="s">
        <v>240</v>
      </c>
    </row>
    <row r="24" spans="1:8" x14ac:dyDescent="0.2">
      <c r="A24" t="s">
        <v>31</v>
      </c>
      <c r="B24" s="29" t="s">
        <v>245</v>
      </c>
      <c r="C24" s="18" t="s">
        <v>238</v>
      </c>
      <c r="D24" s="29" t="s">
        <v>239</v>
      </c>
      <c r="E24" s="18" t="s">
        <v>238</v>
      </c>
      <c r="F24" s="29" t="s">
        <v>245</v>
      </c>
      <c r="G24" s="29" t="s">
        <v>245</v>
      </c>
    </row>
    <row r="25" spans="1:8" x14ac:dyDescent="0.2">
      <c r="A25" t="s">
        <v>38</v>
      </c>
      <c r="B25" s="19" t="s">
        <v>237</v>
      </c>
      <c r="C25" s="18" t="s">
        <v>238</v>
      </c>
      <c r="D25" s="29" t="s">
        <v>239</v>
      </c>
      <c r="E25" s="18" t="s">
        <v>238</v>
      </c>
      <c r="F25" s="29" t="s">
        <v>245</v>
      </c>
      <c r="G25" s="10" t="s">
        <v>239</v>
      </c>
    </row>
    <row r="26" spans="1:8" x14ac:dyDescent="0.2">
      <c r="A26" t="s">
        <v>40</v>
      </c>
      <c r="B26" s="18" t="s">
        <v>238</v>
      </c>
      <c r="C26" s="18" t="s">
        <v>238</v>
      </c>
      <c r="D26" s="29" t="s">
        <v>239</v>
      </c>
      <c r="E26" s="18" t="s">
        <v>238</v>
      </c>
      <c r="F26" s="17" t="s">
        <v>108</v>
      </c>
      <c r="G26" s="10" t="s">
        <v>239</v>
      </c>
    </row>
    <row r="27" spans="1:8" x14ac:dyDescent="0.2">
      <c r="A27" t="s">
        <v>51</v>
      </c>
      <c r="B27" s="29" t="s">
        <v>245</v>
      </c>
      <c r="C27" s="19" t="s">
        <v>237</v>
      </c>
      <c r="D27" s="29" t="s">
        <v>239</v>
      </c>
      <c r="E27" s="18" t="s">
        <v>238</v>
      </c>
      <c r="F27" s="19" t="s">
        <v>237</v>
      </c>
      <c r="G27" s="31" t="s">
        <v>266</v>
      </c>
    </row>
    <row r="28" spans="1:8" x14ac:dyDescent="0.2">
      <c r="A28" t="s">
        <v>61</v>
      </c>
      <c r="B28" s="18" t="s">
        <v>238</v>
      </c>
      <c r="C28" s="19" t="s">
        <v>237</v>
      </c>
      <c r="D28" s="29" t="s">
        <v>239</v>
      </c>
      <c r="E28" s="18" t="s">
        <v>238</v>
      </c>
      <c r="F28" s="29" t="s">
        <v>245</v>
      </c>
      <c r="G28" s="29" t="s">
        <v>245</v>
      </c>
    </row>
    <row r="29" spans="1:8" x14ac:dyDescent="0.2">
      <c r="A29" t="s">
        <v>22</v>
      </c>
      <c r="B29" s="18" t="s">
        <v>238</v>
      </c>
      <c r="C29" s="19" t="s">
        <v>237</v>
      </c>
      <c r="D29" s="19" t="s">
        <v>237</v>
      </c>
      <c r="E29" s="17" t="s">
        <v>108</v>
      </c>
      <c r="F29" s="29" t="s">
        <v>245</v>
      </c>
      <c r="G29" s="17" t="s">
        <v>259</v>
      </c>
      <c r="H29" t="s">
        <v>369</v>
      </c>
    </row>
    <row r="30" spans="1:8" x14ac:dyDescent="0.2">
      <c r="A30" t="s">
        <v>135</v>
      </c>
      <c r="B30" s="18" t="s">
        <v>238</v>
      </c>
      <c r="C30" s="19" t="s">
        <v>237</v>
      </c>
      <c r="D30" s="29" t="s">
        <v>239</v>
      </c>
      <c r="E30" s="18" t="s">
        <v>238</v>
      </c>
      <c r="F30" s="18" t="s">
        <v>238</v>
      </c>
      <c r="G30" s="17" t="s">
        <v>259</v>
      </c>
    </row>
    <row r="31" spans="1:8" x14ac:dyDescent="0.2">
      <c r="A31" t="s">
        <v>152</v>
      </c>
      <c r="B31" s="18" t="s">
        <v>238</v>
      </c>
      <c r="C31" s="19" t="s">
        <v>237</v>
      </c>
      <c r="D31" s="29" t="s">
        <v>239</v>
      </c>
      <c r="E31" s="17" t="s">
        <v>108</v>
      </c>
      <c r="F31" s="19" t="s">
        <v>237</v>
      </c>
      <c r="G31" s="30" t="s">
        <v>240</v>
      </c>
      <c r="H31" t="s">
        <v>283</v>
      </c>
    </row>
    <row r="32" spans="1:8" x14ac:dyDescent="0.2">
      <c r="A32" t="s">
        <v>25</v>
      </c>
      <c r="B32" s="19" t="s">
        <v>237</v>
      </c>
      <c r="C32" s="19" t="s">
        <v>237</v>
      </c>
      <c r="D32" s="29" t="s">
        <v>239</v>
      </c>
      <c r="E32" s="17" t="s">
        <v>108</v>
      </c>
      <c r="F32" s="29" t="s">
        <v>245</v>
      </c>
      <c r="G32" s="30" t="s">
        <v>240</v>
      </c>
    </row>
    <row r="33" spans="1:8" x14ac:dyDescent="0.2">
      <c r="A33" t="s">
        <v>174</v>
      </c>
      <c r="B33" s="18" t="s">
        <v>238</v>
      </c>
      <c r="C33" s="19" t="s">
        <v>237</v>
      </c>
      <c r="D33" s="29" t="s">
        <v>239</v>
      </c>
      <c r="E33" s="17" t="s">
        <v>108</v>
      </c>
      <c r="F33" s="29" t="s">
        <v>245</v>
      </c>
      <c r="G33" s="31" t="s">
        <v>266</v>
      </c>
      <c r="H33" t="s">
        <v>284</v>
      </c>
    </row>
    <row r="34" spans="1:8" x14ac:dyDescent="0.2">
      <c r="A34" t="s">
        <v>27</v>
      </c>
      <c r="B34" s="19" t="s">
        <v>237</v>
      </c>
      <c r="C34" s="19" t="s">
        <v>237</v>
      </c>
      <c r="D34" s="29" t="s">
        <v>239</v>
      </c>
      <c r="E34" s="17" t="s">
        <v>108</v>
      </c>
      <c r="F34" s="19" t="s">
        <v>237</v>
      </c>
      <c r="G34" s="10" t="s">
        <v>239</v>
      </c>
    </row>
    <row r="35" spans="1:8" x14ac:dyDescent="0.2">
      <c r="A35" t="s">
        <v>37</v>
      </c>
      <c r="B35" s="18" t="s">
        <v>238</v>
      </c>
      <c r="C35" s="19" t="s">
        <v>237</v>
      </c>
      <c r="D35" s="20" t="s">
        <v>46</v>
      </c>
      <c r="E35" s="18" t="s">
        <v>238</v>
      </c>
      <c r="F35" s="29" t="s">
        <v>245</v>
      </c>
      <c r="G35" s="30" t="s">
        <v>240</v>
      </c>
      <c r="H35" t="s">
        <v>370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FFCD-7F52-0A4D-95CD-57A3EB65B10B}">
  <dimension ref="A1:S57"/>
  <sheetViews>
    <sheetView topLeftCell="A23" workbookViewId="0">
      <selection activeCell="D41" sqref="D41"/>
    </sheetView>
  </sheetViews>
  <sheetFormatPr baseColWidth="10" defaultRowHeight="16" x14ac:dyDescent="0.2"/>
  <sheetData>
    <row r="1" spans="1:19" x14ac:dyDescent="0.2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371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</row>
    <row r="2" spans="1:19" x14ac:dyDescent="0.2">
      <c r="A2">
        <v>39</v>
      </c>
      <c r="B2" t="s">
        <v>120</v>
      </c>
      <c r="D2" s="1">
        <v>45130</v>
      </c>
      <c r="E2">
        <v>50</v>
      </c>
      <c r="F2" t="s">
        <v>46</v>
      </c>
      <c r="G2" t="s">
        <v>14</v>
      </c>
      <c r="H2">
        <v>6</v>
      </c>
      <c r="I2" t="s">
        <v>190</v>
      </c>
      <c r="J2" t="s">
        <v>30</v>
      </c>
    </row>
    <row r="3" spans="1:19" x14ac:dyDescent="0.2">
      <c r="A3">
        <v>14</v>
      </c>
      <c r="B3" t="s">
        <v>13</v>
      </c>
      <c r="C3" s="1">
        <v>45467</v>
      </c>
      <c r="D3" s="1">
        <v>45101</v>
      </c>
      <c r="E3">
        <v>53</v>
      </c>
      <c r="F3">
        <f>1550-500</f>
        <v>1050</v>
      </c>
      <c r="G3" t="s">
        <v>14</v>
      </c>
      <c r="H3">
        <v>15</v>
      </c>
      <c r="I3" t="s">
        <v>190</v>
      </c>
      <c r="J3" t="s">
        <v>30</v>
      </c>
      <c r="L3" t="s">
        <v>191</v>
      </c>
    </row>
    <row r="4" spans="1:19" x14ac:dyDescent="0.2">
      <c r="A4">
        <v>29</v>
      </c>
      <c r="B4" t="s">
        <v>38</v>
      </c>
      <c r="C4" s="1">
        <v>45108</v>
      </c>
      <c r="D4" s="1">
        <v>45108</v>
      </c>
      <c r="E4">
        <v>54</v>
      </c>
      <c r="F4">
        <f>1550-500</f>
        <v>1050</v>
      </c>
      <c r="G4" t="s">
        <v>14</v>
      </c>
      <c r="H4">
        <v>9</v>
      </c>
      <c r="I4" t="s">
        <v>190</v>
      </c>
      <c r="J4" t="s">
        <v>14</v>
      </c>
      <c r="K4">
        <v>7385</v>
      </c>
      <c r="L4" t="s">
        <v>197</v>
      </c>
    </row>
    <row r="5" spans="1:19" x14ac:dyDescent="0.2">
      <c r="A5">
        <v>36</v>
      </c>
      <c r="B5" t="s">
        <v>57</v>
      </c>
      <c r="C5" s="1">
        <v>45111</v>
      </c>
      <c r="D5" s="1">
        <v>45112</v>
      </c>
      <c r="E5">
        <v>55</v>
      </c>
      <c r="F5">
        <f>1750-500</f>
        <v>1250</v>
      </c>
      <c r="G5" t="s">
        <v>14</v>
      </c>
      <c r="H5">
        <v>10</v>
      </c>
      <c r="I5" t="s">
        <v>190</v>
      </c>
      <c r="J5" t="s">
        <v>30</v>
      </c>
    </row>
    <row r="6" spans="1:19" x14ac:dyDescent="0.2">
      <c r="A6">
        <v>50</v>
      </c>
      <c r="B6" t="s">
        <v>152</v>
      </c>
      <c r="C6" s="1">
        <v>45143</v>
      </c>
      <c r="D6" s="1">
        <v>45143</v>
      </c>
      <c r="E6">
        <v>55</v>
      </c>
      <c r="F6">
        <f>1850-500</f>
        <v>1350</v>
      </c>
      <c r="G6" t="s">
        <v>14</v>
      </c>
      <c r="H6">
        <v>10</v>
      </c>
      <c r="I6" t="s">
        <v>190</v>
      </c>
      <c r="J6" t="s">
        <v>30</v>
      </c>
    </row>
    <row r="7" spans="1:19" x14ac:dyDescent="0.2">
      <c r="A7">
        <v>25</v>
      </c>
      <c r="B7" t="s">
        <v>37</v>
      </c>
      <c r="C7" s="1">
        <v>45101</v>
      </c>
      <c r="D7" s="1">
        <v>45102</v>
      </c>
      <c r="E7">
        <v>56</v>
      </c>
      <c r="F7">
        <f>1750-500</f>
        <v>1250</v>
      </c>
      <c r="G7" t="s">
        <v>30</v>
      </c>
      <c r="H7" t="s">
        <v>46</v>
      </c>
      <c r="I7" t="s">
        <v>190</v>
      </c>
      <c r="J7" t="s">
        <v>30</v>
      </c>
      <c r="L7" t="s">
        <v>24</v>
      </c>
    </row>
    <row r="8" spans="1:19" x14ac:dyDescent="0.2">
      <c r="A8">
        <v>22</v>
      </c>
      <c r="B8" t="s">
        <v>31</v>
      </c>
      <c r="C8" s="1">
        <v>45102</v>
      </c>
      <c r="D8" s="1">
        <v>45102</v>
      </c>
      <c r="E8">
        <v>56</v>
      </c>
      <c r="F8">
        <v>1220</v>
      </c>
      <c r="G8" t="s">
        <v>14</v>
      </c>
      <c r="H8">
        <v>16</v>
      </c>
      <c r="I8" t="s">
        <v>190</v>
      </c>
      <c r="J8" t="s">
        <v>30</v>
      </c>
      <c r="L8" t="s">
        <v>36</v>
      </c>
    </row>
    <row r="9" spans="1:19" x14ac:dyDescent="0.2">
      <c r="A9">
        <v>35</v>
      </c>
      <c r="B9" t="s">
        <v>61</v>
      </c>
      <c r="C9" s="1">
        <v>45112</v>
      </c>
      <c r="D9" s="1">
        <v>45112</v>
      </c>
      <c r="E9">
        <v>57.5</v>
      </c>
      <c r="F9">
        <f>1850-500</f>
        <v>1350</v>
      </c>
      <c r="G9" t="s">
        <v>14</v>
      </c>
      <c r="H9">
        <v>16</v>
      </c>
      <c r="I9" t="s">
        <v>190</v>
      </c>
      <c r="J9" t="s">
        <v>30</v>
      </c>
      <c r="L9" t="s">
        <v>62</v>
      </c>
      <c r="M9" t="s">
        <v>195</v>
      </c>
    </row>
    <row r="10" spans="1:19" x14ac:dyDescent="0.2">
      <c r="A10">
        <v>8</v>
      </c>
      <c r="B10" t="s">
        <v>46</v>
      </c>
      <c r="D10" s="1">
        <v>45083</v>
      </c>
      <c r="E10">
        <v>58</v>
      </c>
      <c r="F10" t="s">
        <v>46</v>
      </c>
      <c r="G10" t="s">
        <v>30</v>
      </c>
      <c r="H10">
        <v>9</v>
      </c>
      <c r="I10" t="s">
        <v>190</v>
      </c>
      <c r="J10" t="s">
        <v>30</v>
      </c>
      <c r="M10" t="s">
        <v>198</v>
      </c>
    </row>
    <row r="11" spans="1:19" x14ac:dyDescent="0.2">
      <c r="A11">
        <v>19</v>
      </c>
      <c r="B11" t="s">
        <v>25</v>
      </c>
      <c r="C11" s="1">
        <v>45102</v>
      </c>
      <c r="D11" s="1">
        <v>45102</v>
      </c>
      <c r="E11">
        <v>58</v>
      </c>
      <c r="F11">
        <f>1500-500</f>
        <v>1000</v>
      </c>
      <c r="G11" t="s">
        <v>14</v>
      </c>
      <c r="H11">
        <v>16</v>
      </c>
      <c r="I11" t="s">
        <v>190</v>
      </c>
      <c r="J11" t="s">
        <v>30</v>
      </c>
      <c r="L11" t="s">
        <v>196</v>
      </c>
      <c r="S11">
        <f>56-13</f>
        <v>43</v>
      </c>
    </row>
    <row r="12" spans="1:19" x14ac:dyDescent="0.2">
      <c r="A12">
        <v>55</v>
      </c>
      <c r="B12" t="s">
        <v>170</v>
      </c>
      <c r="D12" s="1">
        <v>45171</v>
      </c>
      <c r="E12">
        <v>58.5</v>
      </c>
      <c r="F12">
        <f>1200-500</f>
        <v>700</v>
      </c>
      <c r="G12" t="s">
        <v>14</v>
      </c>
      <c r="H12">
        <v>9</v>
      </c>
      <c r="I12" t="s">
        <v>190</v>
      </c>
      <c r="J12" t="s">
        <v>30</v>
      </c>
    </row>
    <row r="13" spans="1:19" x14ac:dyDescent="0.2">
      <c r="A13">
        <v>1</v>
      </c>
      <c r="B13" t="s">
        <v>46</v>
      </c>
      <c r="D13" s="1">
        <v>45072</v>
      </c>
      <c r="E13">
        <v>58.5</v>
      </c>
      <c r="F13">
        <f>1800-500</f>
        <v>1300</v>
      </c>
      <c r="G13" t="s">
        <v>14</v>
      </c>
      <c r="H13">
        <v>9</v>
      </c>
      <c r="I13" t="s">
        <v>190</v>
      </c>
      <c r="J13" t="s">
        <v>30</v>
      </c>
      <c r="M13" t="s">
        <v>198</v>
      </c>
    </row>
    <row r="14" spans="1:19" x14ac:dyDescent="0.2">
      <c r="A14">
        <v>6</v>
      </c>
      <c r="B14" t="s">
        <v>46</v>
      </c>
      <c r="D14" s="1">
        <v>45079</v>
      </c>
      <c r="E14">
        <v>59</v>
      </c>
      <c r="F14">
        <f>2050-500</f>
        <v>1550</v>
      </c>
      <c r="G14" t="s">
        <v>30</v>
      </c>
      <c r="H14">
        <v>9</v>
      </c>
      <c r="I14" t="s">
        <v>190</v>
      </c>
      <c r="J14" t="s">
        <v>30</v>
      </c>
      <c r="M14" t="s">
        <v>198</v>
      </c>
    </row>
    <row r="15" spans="1:19" x14ac:dyDescent="0.2">
      <c r="A15">
        <v>24</v>
      </c>
      <c r="B15" t="s">
        <v>37</v>
      </c>
      <c r="C15" s="1">
        <v>45100</v>
      </c>
      <c r="D15" s="1">
        <v>45102</v>
      </c>
      <c r="E15">
        <v>60</v>
      </c>
      <c r="F15">
        <f>2300-500</f>
        <v>1800</v>
      </c>
      <c r="G15" t="s">
        <v>30</v>
      </c>
      <c r="H15" t="s">
        <v>46</v>
      </c>
      <c r="I15" t="s">
        <v>190</v>
      </c>
      <c r="J15" t="s">
        <v>30</v>
      </c>
      <c r="L15" t="s">
        <v>24</v>
      </c>
    </row>
    <row r="16" spans="1:19" x14ac:dyDescent="0.2">
      <c r="A16">
        <v>31</v>
      </c>
      <c r="B16" t="s">
        <v>40</v>
      </c>
      <c r="C16" s="1">
        <v>45108</v>
      </c>
      <c r="D16" s="1">
        <v>45108</v>
      </c>
      <c r="E16">
        <v>60</v>
      </c>
      <c r="F16" t="s">
        <v>46</v>
      </c>
      <c r="G16" t="s">
        <v>14</v>
      </c>
      <c r="H16">
        <v>17</v>
      </c>
      <c r="I16" t="s">
        <v>190</v>
      </c>
      <c r="J16" t="s">
        <v>30</v>
      </c>
      <c r="L16" t="s">
        <v>42</v>
      </c>
    </row>
    <row r="17" spans="1:13" x14ac:dyDescent="0.2">
      <c r="A17">
        <v>17</v>
      </c>
      <c r="B17" t="s">
        <v>13</v>
      </c>
      <c r="C17" s="1">
        <v>45102</v>
      </c>
      <c r="D17" s="1">
        <v>45102</v>
      </c>
      <c r="E17">
        <v>60.5</v>
      </c>
      <c r="F17">
        <v>1200</v>
      </c>
      <c r="G17" t="s">
        <v>14</v>
      </c>
      <c r="I17" t="s">
        <v>190</v>
      </c>
      <c r="J17" t="s">
        <v>30</v>
      </c>
    </row>
    <row r="18" spans="1:13" x14ac:dyDescent="0.2">
      <c r="A18">
        <v>49</v>
      </c>
      <c r="B18" t="s">
        <v>147</v>
      </c>
      <c r="C18" s="1">
        <v>45141</v>
      </c>
      <c r="D18" s="1">
        <v>45142</v>
      </c>
      <c r="E18">
        <v>60.5</v>
      </c>
      <c r="F18">
        <f>1700-500</f>
        <v>1200</v>
      </c>
      <c r="G18" t="s">
        <v>14</v>
      </c>
      <c r="H18">
        <v>15</v>
      </c>
      <c r="I18" t="s">
        <v>190</v>
      </c>
      <c r="J18" t="s">
        <v>30</v>
      </c>
    </row>
    <row r="19" spans="1:13" x14ac:dyDescent="0.2">
      <c r="A19">
        <v>43</v>
      </c>
      <c r="B19" t="s">
        <v>147</v>
      </c>
      <c r="C19" s="1">
        <v>45141</v>
      </c>
      <c r="D19" s="1">
        <v>45141</v>
      </c>
      <c r="E19">
        <v>60.5</v>
      </c>
      <c r="F19">
        <f>1800-500</f>
        <v>1300</v>
      </c>
      <c r="G19" t="s">
        <v>14</v>
      </c>
      <c r="H19">
        <v>9</v>
      </c>
      <c r="I19" t="s">
        <v>190</v>
      </c>
      <c r="J19" t="s">
        <v>14</v>
      </c>
      <c r="K19">
        <v>7500</v>
      </c>
    </row>
    <row r="20" spans="1:13" x14ac:dyDescent="0.2">
      <c r="A20">
        <v>47</v>
      </c>
      <c r="B20" t="s">
        <v>138</v>
      </c>
      <c r="C20" s="1">
        <v>45142</v>
      </c>
      <c r="D20" s="1">
        <v>45142</v>
      </c>
      <c r="E20">
        <v>61</v>
      </c>
      <c r="F20">
        <f>2200-500</f>
        <v>1700</v>
      </c>
      <c r="G20" t="s">
        <v>14</v>
      </c>
      <c r="H20">
        <v>9</v>
      </c>
      <c r="I20" t="s">
        <v>190</v>
      </c>
      <c r="J20" t="s">
        <v>30</v>
      </c>
    </row>
    <row r="21" spans="1:13" x14ac:dyDescent="0.2">
      <c r="A21">
        <v>32</v>
      </c>
      <c r="B21" t="s">
        <v>43</v>
      </c>
      <c r="C21" s="1">
        <v>45109</v>
      </c>
      <c r="D21" s="1">
        <v>45109</v>
      </c>
      <c r="E21">
        <v>61.5</v>
      </c>
      <c r="F21">
        <f>1950-500</f>
        <v>1450</v>
      </c>
      <c r="G21" t="s">
        <v>14</v>
      </c>
      <c r="H21">
        <v>13</v>
      </c>
      <c r="I21" t="s">
        <v>190</v>
      </c>
      <c r="J21" t="s">
        <v>30</v>
      </c>
      <c r="L21" t="s">
        <v>192</v>
      </c>
    </row>
    <row r="22" spans="1:13" x14ac:dyDescent="0.2">
      <c r="A22">
        <v>34</v>
      </c>
      <c r="B22" t="s">
        <v>57</v>
      </c>
      <c r="C22" s="1">
        <v>45111</v>
      </c>
      <c r="D22" s="1">
        <v>45111</v>
      </c>
      <c r="E22">
        <v>61.5</v>
      </c>
      <c r="F22">
        <f>2000-500</f>
        <v>1500</v>
      </c>
      <c r="G22" t="s">
        <v>14</v>
      </c>
      <c r="H22">
        <v>13</v>
      </c>
      <c r="I22" t="s">
        <v>190</v>
      </c>
      <c r="J22" t="s">
        <v>30</v>
      </c>
      <c r="L22" t="s">
        <v>194</v>
      </c>
    </row>
    <row r="23" spans="1:13" x14ac:dyDescent="0.2">
      <c r="A23">
        <v>23</v>
      </c>
      <c r="B23" t="s">
        <v>37</v>
      </c>
      <c r="C23" s="1">
        <v>45100</v>
      </c>
      <c r="D23" s="1">
        <v>45102</v>
      </c>
      <c r="E23">
        <v>62.5</v>
      </c>
      <c r="F23">
        <f>1900-500</f>
        <v>1400</v>
      </c>
      <c r="G23" t="s">
        <v>30</v>
      </c>
      <c r="H23" t="s">
        <v>46</v>
      </c>
      <c r="I23" t="s">
        <v>190</v>
      </c>
      <c r="J23" t="s">
        <v>30</v>
      </c>
      <c r="L23" t="s">
        <v>24</v>
      </c>
    </row>
    <row r="24" spans="1:13" x14ac:dyDescent="0.2">
      <c r="A24">
        <v>11</v>
      </c>
      <c r="B24" t="s">
        <v>13</v>
      </c>
      <c r="C24" s="1">
        <v>45100</v>
      </c>
      <c r="D24" s="1">
        <v>45100</v>
      </c>
      <c r="E24">
        <v>62.5</v>
      </c>
      <c r="F24">
        <f>1850-500</f>
        <v>1350</v>
      </c>
      <c r="G24" t="s">
        <v>14</v>
      </c>
      <c r="H24">
        <v>15</v>
      </c>
      <c r="I24" t="s">
        <v>190</v>
      </c>
      <c r="J24" t="s">
        <v>30</v>
      </c>
      <c r="L24" t="s">
        <v>191</v>
      </c>
    </row>
    <row r="25" spans="1:13" x14ac:dyDescent="0.2">
      <c r="A25">
        <v>4</v>
      </c>
      <c r="B25" t="s">
        <v>46</v>
      </c>
      <c r="D25" s="1">
        <v>45073</v>
      </c>
      <c r="E25">
        <v>62.5</v>
      </c>
      <c r="F25">
        <f>2200-500</f>
        <v>1700</v>
      </c>
      <c r="G25" t="s">
        <v>14</v>
      </c>
      <c r="H25">
        <v>17</v>
      </c>
      <c r="I25" t="s">
        <v>190</v>
      </c>
      <c r="J25" t="s">
        <v>30</v>
      </c>
      <c r="M25" t="s">
        <v>198</v>
      </c>
    </row>
    <row r="26" spans="1:13" x14ac:dyDescent="0.2">
      <c r="A26">
        <v>15</v>
      </c>
      <c r="B26" t="s">
        <v>13</v>
      </c>
      <c r="C26" s="1">
        <v>45467</v>
      </c>
      <c r="D26" s="1">
        <v>45101</v>
      </c>
      <c r="E26">
        <v>63</v>
      </c>
      <c r="F26">
        <f>2250-500</f>
        <v>1750</v>
      </c>
      <c r="G26" t="s">
        <v>14</v>
      </c>
      <c r="H26">
        <v>12</v>
      </c>
      <c r="I26" t="s">
        <v>190</v>
      </c>
      <c r="J26" t="s">
        <v>30</v>
      </c>
      <c r="L26" t="s">
        <v>191</v>
      </c>
    </row>
    <row r="27" spans="1:13" x14ac:dyDescent="0.2">
      <c r="A27">
        <v>2</v>
      </c>
      <c r="B27" t="s">
        <v>46</v>
      </c>
      <c r="D27" s="1">
        <v>45072</v>
      </c>
      <c r="E27">
        <v>63.5</v>
      </c>
      <c r="F27">
        <f>2300-500</f>
        <v>1800</v>
      </c>
      <c r="G27" t="s">
        <v>30</v>
      </c>
      <c r="H27" t="s">
        <v>46</v>
      </c>
      <c r="I27" t="s">
        <v>190</v>
      </c>
      <c r="J27" t="s">
        <v>30</v>
      </c>
      <c r="M27" t="s">
        <v>198</v>
      </c>
    </row>
    <row r="28" spans="1:13" x14ac:dyDescent="0.2">
      <c r="A28">
        <v>10</v>
      </c>
      <c r="B28" t="s">
        <v>13</v>
      </c>
      <c r="C28" s="1">
        <v>45100</v>
      </c>
      <c r="D28" s="1">
        <v>45100</v>
      </c>
      <c r="E28">
        <v>64</v>
      </c>
      <c r="F28">
        <v>1500</v>
      </c>
      <c r="G28" t="s">
        <v>14</v>
      </c>
      <c r="H28">
        <v>15</v>
      </c>
      <c r="I28" t="s">
        <v>190</v>
      </c>
      <c r="J28" t="s">
        <v>30</v>
      </c>
      <c r="L28" t="s">
        <v>191</v>
      </c>
    </row>
    <row r="29" spans="1:13" x14ac:dyDescent="0.2">
      <c r="A29">
        <v>18</v>
      </c>
      <c r="B29" t="s">
        <v>25</v>
      </c>
      <c r="C29" s="1">
        <v>45102</v>
      </c>
      <c r="D29" s="1">
        <v>45102</v>
      </c>
      <c r="E29">
        <v>64.5</v>
      </c>
      <c r="F29">
        <f>2200-500</f>
        <v>1700</v>
      </c>
      <c r="G29" t="s">
        <v>14</v>
      </c>
      <c r="I29" t="s">
        <v>190</v>
      </c>
      <c r="J29" t="s">
        <v>14</v>
      </c>
      <c r="K29">
        <v>7288</v>
      </c>
      <c r="L29" t="s">
        <v>196</v>
      </c>
    </row>
    <row r="30" spans="1:13" x14ac:dyDescent="0.2">
      <c r="A30">
        <v>9</v>
      </c>
      <c r="B30" t="s">
        <v>46</v>
      </c>
      <c r="D30" s="1">
        <v>45083</v>
      </c>
      <c r="E30">
        <v>65</v>
      </c>
      <c r="F30">
        <f>2100-500</f>
        <v>1600</v>
      </c>
      <c r="G30" t="s">
        <v>30</v>
      </c>
      <c r="H30">
        <v>14</v>
      </c>
      <c r="I30" t="s">
        <v>190</v>
      </c>
      <c r="J30" t="s">
        <v>30</v>
      </c>
      <c r="M30" t="s">
        <v>198</v>
      </c>
    </row>
    <row r="31" spans="1:13" x14ac:dyDescent="0.2">
      <c r="A31">
        <v>40</v>
      </c>
      <c r="B31" t="s">
        <v>143</v>
      </c>
      <c r="C31" s="1">
        <v>45140</v>
      </c>
      <c r="D31" s="1">
        <v>45140</v>
      </c>
      <c r="E31">
        <v>65</v>
      </c>
      <c r="F31">
        <f>2350-500</f>
        <v>1850</v>
      </c>
      <c r="G31" t="s">
        <v>14</v>
      </c>
      <c r="H31">
        <v>16</v>
      </c>
      <c r="I31" t="s">
        <v>190</v>
      </c>
      <c r="J31" t="s">
        <v>14</v>
      </c>
      <c r="K31">
        <v>7515</v>
      </c>
    </row>
    <row r="32" spans="1:13" x14ac:dyDescent="0.2">
      <c r="A32">
        <v>51</v>
      </c>
      <c r="B32" t="s">
        <v>147</v>
      </c>
      <c r="C32" s="1">
        <v>45141</v>
      </c>
      <c r="D32" s="1">
        <v>45143</v>
      </c>
      <c r="E32">
        <v>65</v>
      </c>
      <c r="F32">
        <f>2350-500</f>
        <v>1850</v>
      </c>
      <c r="G32" t="s">
        <v>14</v>
      </c>
      <c r="H32">
        <v>15</v>
      </c>
      <c r="I32" t="s">
        <v>190</v>
      </c>
      <c r="J32" t="s">
        <v>30</v>
      </c>
    </row>
    <row r="33" spans="1:13" x14ac:dyDescent="0.2">
      <c r="A33">
        <v>30</v>
      </c>
      <c r="B33" t="s">
        <v>40</v>
      </c>
      <c r="C33" s="1">
        <v>45108</v>
      </c>
      <c r="D33" s="1">
        <v>45108</v>
      </c>
      <c r="E33">
        <v>65</v>
      </c>
      <c r="F33" t="s">
        <v>46</v>
      </c>
      <c r="G33" t="s">
        <v>14</v>
      </c>
      <c r="H33">
        <v>17</v>
      </c>
      <c r="I33" t="s">
        <v>190</v>
      </c>
      <c r="J33" t="s">
        <v>30</v>
      </c>
      <c r="L33" t="s">
        <v>42</v>
      </c>
    </row>
    <row r="34" spans="1:13" x14ac:dyDescent="0.2">
      <c r="A34">
        <v>53</v>
      </c>
      <c r="B34" t="s">
        <v>156</v>
      </c>
      <c r="D34" s="1">
        <v>45154</v>
      </c>
      <c r="E34">
        <v>65</v>
      </c>
      <c r="F34" t="s">
        <v>46</v>
      </c>
      <c r="G34" t="s">
        <v>14</v>
      </c>
      <c r="H34">
        <v>16</v>
      </c>
      <c r="I34" t="s">
        <v>190</v>
      </c>
      <c r="J34" t="s">
        <v>30</v>
      </c>
    </row>
    <row r="35" spans="1:13" x14ac:dyDescent="0.2">
      <c r="A35">
        <v>27</v>
      </c>
      <c r="B35" t="s">
        <v>37</v>
      </c>
      <c r="C35" s="1">
        <v>45102</v>
      </c>
      <c r="D35" s="1">
        <v>45102</v>
      </c>
      <c r="E35">
        <v>65.5</v>
      </c>
      <c r="F35">
        <f>2200-500</f>
        <v>1700</v>
      </c>
      <c r="G35" t="s">
        <v>30</v>
      </c>
      <c r="H35" t="s">
        <v>46</v>
      </c>
      <c r="I35" t="s">
        <v>190</v>
      </c>
      <c r="J35" t="s">
        <v>30</v>
      </c>
      <c r="L35" t="s">
        <v>24</v>
      </c>
    </row>
    <row r="36" spans="1:13" x14ac:dyDescent="0.2">
      <c r="A36">
        <v>7</v>
      </c>
      <c r="B36" t="s">
        <v>46</v>
      </c>
      <c r="D36" s="1">
        <v>45083</v>
      </c>
      <c r="E36">
        <v>66</v>
      </c>
      <c r="F36" t="s">
        <v>46</v>
      </c>
      <c r="G36" t="s">
        <v>30</v>
      </c>
      <c r="H36">
        <v>10</v>
      </c>
      <c r="I36" t="s">
        <v>190</v>
      </c>
      <c r="J36" t="s">
        <v>30</v>
      </c>
      <c r="M36" t="s">
        <v>198</v>
      </c>
    </row>
    <row r="37" spans="1:13" x14ac:dyDescent="0.2">
      <c r="A37">
        <v>21</v>
      </c>
      <c r="B37" t="s">
        <v>31</v>
      </c>
      <c r="C37" s="1">
        <v>45102</v>
      </c>
      <c r="D37" s="1">
        <v>45102</v>
      </c>
      <c r="E37">
        <v>66</v>
      </c>
      <c r="F37">
        <v>1870</v>
      </c>
      <c r="G37" t="s">
        <v>14</v>
      </c>
      <c r="H37">
        <v>17</v>
      </c>
      <c r="I37" t="s">
        <v>190</v>
      </c>
      <c r="J37" t="s">
        <v>30</v>
      </c>
      <c r="L37" t="s">
        <v>36</v>
      </c>
    </row>
    <row r="38" spans="1:13" x14ac:dyDescent="0.2">
      <c r="A38">
        <v>52</v>
      </c>
      <c r="B38" t="s">
        <v>46</v>
      </c>
      <c r="D38" s="1">
        <v>45144</v>
      </c>
      <c r="E38">
        <v>66</v>
      </c>
      <c r="F38" t="s">
        <v>46</v>
      </c>
      <c r="G38" t="s">
        <v>14</v>
      </c>
      <c r="H38">
        <v>12</v>
      </c>
      <c r="I38" t="s">
        <v>190</v>
      </c>
      <c r="J38" t="s">
        <v>30</v>
      </c>
    </row>
    <row r="39" spans="1:13" x14ac:dyDescent="0.2">
      <c r="A39">
        <v>20</v>
      </c>
      <c r="B39" t="s">
        <v>31</v>
      </c>
      <c r="C39" s="1">
        <v>45102</v>
      </c>
      <c r="D39" s="1">
        <v>45102</v>
      </c>
      <c r="E39">
        <v>72</v>
      </c>
      <c r="F39">
        <v>2700</v>
      </c>
      <c r="G39" t="s">
        <v>14</v>
      </c>
      <c r="H39">
        <v>15</v>
      </c>
      <c r="I39" t="s">
        <v>190</v>
      </c>
      <c r="J39" t="s">
        <v>30</v>
      </c>
      <c r="L39" t="s">
        <v>36</v>
      </c>
    </row>
    <row r="40" spans="1:13" x14ac:dyDescent="0.2">
      <c r="A40">
        <v>26</v>
      </c>
      <c r="B40" t="s">
        <v>37</v>
      </c>
      <c r="C40" s="1">
        <v>45101</v>
      </c>
      <c r="D40" s="1">
        <v>45102</v>
      </c>
      <c r="E40">
        <v>75.5</v>
      </c>
      <c r="F40">
        <f>3150-500</f>
        <v>2650</v>
      </c>
      <c r="G40" t="s">
        <v>30</v>
      </c>
      <c r="H40" t="s">
        <v>46</v>
      </c>
      <c r="I40" t="s">
        <v>190</v>
      </c>
      <c r="J40" t="s">
        <v>14</v>
      </c>
      <c r="K40">
        <v>7511</v>
      </c>
      <c r="L40" t="s">
        <v>24</v>
      </c>
    </row>
    <row r="41" spans="1:13" x14ac:dyDescent="0.2">
      <c r="A41">
        <v>13</v>
      </c>
      <c r="B41" t="s">
        <v>22</v>
      </c>
      <c r="C41" s="1">
        <v>45101</v>
      </c>
      <c r="D41" s="1">
        <v>45101</v>
      </c>
      <c r="E41">
        <v>76</v>
      </c>
      <c r="F41">
        <f>3150-500</f>
        <v>2650</v>
      </c>
      <c r="G41" t="s">
        <v>14</v>
      </c>
      <c r="H41">
        <v>15</v>
      </c>
      <c r="I41" t="s">
        <v>190</v>
      </c>
      <c r="J41" t="s">
        <v>30</v>
      </c>
      <c r="L41" t="s">
        <v>24</v>
      </c>
    </row>
    <row r="42" spans="1:13" x14ac:dyDescent="0.2">
      <c r="A42">
        <v>37</v>
      </c>
      <c r="B42" t="s">
        <v>114</v>
      </c>
      <c r="C42" s="1">
        <v>45130</v>
      </c>
      <c r="D42" s="1">
        <v>45130</v>
      </c>
      <c r="E42">
        <v>79</v>
      </c>
      <c r="F42">
        <f>3350-500</f>
        <v>2850</v>
      </c>
      <c r="G42" t="s">
        <v>14</v>
      </c>
      <c r="H42">
        <v>17</v>
      </c>
      <c r="I42" t="s">
        <v>190</v>
      </c>
      <c r="J42" t="s">
        <v>30</v>
      </c>
    </row>
    <row r="43" spans="1:13" x14ac:dyDescent="0.2">
      <c r="A43">
        <v>28</v>
      </c>
      <c r="B43" t="s">
        <v>37</v>
      </c>
      <c r="C43" s="1">
        <v>45102</v>
      </c>
      <c r="D43" s="1">
        <v>45102</v>
      </c>
      <c r="E43">
        <v>81</v>
      </c>
      <c r="F43">
        <f>4350-500</f>
        <v>3850</v>
      </c>
      <c r="G43" t="s">
        <v>30</v>
      </c>
      <c r="H43" t="s">
        <v>46</v>
      </c>
      <c r="I43" t="s">
        <v>190</v>
      </c>
      <c r="J43" t="s">
        <v>30</v>
      </c>
      <c r="L43" t="s">
        <v>24</v>
      </c>
    </row>
    <row r="44" spans="1:13" x14ac:dyDescent="0.2">
      <c r="A44">
        <v>3</v>
      </c>
      <c r="B44" t="s">
        <v>46</v>
      </c>
      <c r="D44" s="1">
        <v>45072</v>
      </c>
      <c r="E44">
        <v>81</v>
      </c>
      <c r="F44">
        <f>5500-500</f>
        <v>5000</v>
      </c>
      <c r="G44" t="s">
        <v>30</v>
      </c>
      <c r="H44" t="s">
        <v>46</v>
      </c>
      <c r="I44" t="s">
        <v>190</v>
      </c>
      <c r="J44" t="s">
        <v>30</v>
      </c>
      <c r="M44" t="s">
        <v>198</v>
      </c>
    </row>
    <row r="45" spans="1:13" x14ac:dyDescent="0.2">
      <c r="A45">
        <v>45</v>
      </c>
      <c r="B45" t="s">
        <v>149</v>
      </c>
      <c r="C45" s="1">
        <v>45142</v>
      </c>
      <c r="D45" s="1">
        <v>45142</v>
      </c>
      <c r="E45">
        <v>81</v>
      </c>
      <c r="F45">
        <f>3150-500</f>
        <v>2650</v>
      </c>
      <c r="G45" t="s">
        <v>14</v>
      </c>
      <c r="H45">
        <v>15</v>
      </c>
      <c r="I45" t="s">
        <v>190</v>
      </c>
      <c r="J45" t="s">
        <v>30</v>
      </c>
    </row>
    <row r="46" spans="1:13" x14ac:dyDescent="0.2">
      <c r="A46">
        <v>41</v>
      </c>
      <c r="B46" t="s">
        <v>143</v>
      </c>
      <c r="C46" s="1">
        <v>45140</v>
      </c>
      <c r="D46" s="1">
        <v>45140</v>
      </c>
      <c r="E46">
        <v>84.5</v>
      </c>
      <c r="F46">
        <f>4450-500</f>
        <v>3950</v>
      </c>
      <c r="G46" t="s">
        <v>14</v>
      </c>
      <c r="H46">
        <v>19</v>
      </c>
      <c r="I46" t="s">
        <v>190</v>
      </c>
      <c r="J46" t="s">
        <v>30</v>
      </c>
    </row>
    <row r="47" spans="1:13" x14ac:dyDescent="0.2">
      <c r="A47">
        <v>5</v>
      </c>
      <c r="B47" t="s">
        <v>46</v>
      </c>
      <c r="D47" s="1">
        <v>45073</v>
      </c>
      <c r="E47">
        <v>85.5</v>
      </c>
      <c r="F47">
        <v>4600</v>
      </c>
      <c r="G47" t="s">
        <v>30</v>
      </c>
      <c r="H47">
        <v>16</v>
      </c>
      <c r="I47" t="s">
        <v>190</v>
      </c>
      <c r="J47" t="s">
        <v>30</v>
      </c>
      <c r="M47" t="s">
        <v>198</v>
      </c>
    </row>
    <row r="48" spans="1:13" x14ac:dyDescent="0.2">
      <c r="A48">
        <v>38</v>
      </c>
      <c r="B48" t="s">
        <v>112</v>
      </c>
      <c r="D48" s="1">
        <v>45130</v>
      </c>
      <c r="E48">
        <v>87</v>
      </c>
      <c r="F48">
        <f>4100-500</f>
        <v>3600</v>
      </c>
      <c r="G48" t="s">
        <v>14</v>
      </c>
      <c r="H48">
        <v>17</v>
      </c>
      <c r="I48" t="s">
        <v>190</v>
      </c>
      <c r="J48" t="s">
        <v>30</v>
      </c>
    </row>
    <row r="49" spans="1:13" x14ac:dyDescent="0.2">
      <c r="A49">
        <v>48</v>
      </c>
      <c r="B49" t="s">
        <v>147</v>
      </c>
      <c r="C49" s="1">
        <v>45141</v>
      </c>
      <c r="D49" s="1">
        <v>45142</v>
      </c>
      <c r="E49">
        <v>88</v>
      </c>
      <c r="F49">
        <f>3950-500</f>
        <v>3450</v>
      </c>
      <c r="G49" t="s">
        <v>14</v>
      </c>
      <c r="H49">
        <v>17</v>
      </c>
      <c r="I49" t="s">
        <v>190</v>
      </c>
      <c r="J49" t="s">
        <v>30</v>
      </c>
    </row>
    <row r="50" spans="1:13" x14ac:dyDescent="0.2">
      <c r="A50">
        <v>12</v>
      </c>
      <c r="B50" t="s">
        <v>22</v>
      </c>
      <c r="C50" s="1">
        <v>45101</v>
      </c>
      <c r="D50" s="1">
        <v>45101</v>
      </c>
      <c r="E50">
        <v>89</v>
      </c>
      <c r="F50">
        <v>4000</v>
      </c>
      <c r="G50" t="s">
        <v>14</v>
      </c>
      <c r="H50">
        <v>15</v>
      </c>
      <c r="I50" t="s">
        <v>190</v>
      </c>
      <c r="J50" t="s">
        <v>30</v>
      </c>
      <c r="L50" t="s">
        <v>24</v>
      </c>
    </row>
    <row r="51" spans="1:13" x14ac:dyDescent="0.2">
      <c r="A51">
        <v>7403</v>
      </c>
      <c r="B51" t="s">
        <v>46</v>
      </c>
      <c r="D51" s="1">
        <v>45091</v>
      </c>
      <c r="E51">
        <v>89.8</v>
      </c>
      <c r="F51">
        <v>5300</v>
      </c>
      <c r="G51" t="s">
        <v>14</v>
      </c>
      <c r="H51">
        <v>17</v>
      </c>
      <c r="I51" t="s">
        <v>190</v>
      </c>
      <c r="J51" t="s">
        <v>14</v>
      </c>
      <c r="K51">
        <v>7403</v>
      </c>
      <c r="M51" t="s">
        <v>372</v>
      </c>
    </row>
    <row r="52" spans="1:13" x14ac:dyDescent="0.2">
      <c r="A52">
        <v>42</v>
      </c>
      <c r="B52" t="s">
        <v>138</v>
      </c>
      <c r="C52" s="1">
        <v>45139</v>
      </c>
      <c r="D52" s="1">
        <v>45139</v>
      </c>
      <c r="E52">
        <v>92</v>
      </c>
      <c r="F52">
        <f>4300-500</f>
        <v>3800</v>
      </c>
      <c r="G52" t="s">
        <v>14</v>
      </c>
      <c r="H52">
        <v>16</v>
      </c>
      <c r="I52" t="s">
        <v>190</v>
      </c>
      <c r="J52" t="s">
        <v>30</v>
      </c>
    </row>
    <row r="53" spans="1:13" x14ac:dyDescent="0.2">
      <c r="A53">
        <v>46</v>
      </c>
      <c r="B53" t="s">
        <v>46</v>
      </c>
      <c r="D53" s="1">
        <v>45142</v>
      </c>
      <c r="E53">
        <v>94</v>
      </c>
      <c r="F53">
        <f>6300-500</f>
        <v>5800</v>
      </c>
      <c r="G53" t="s">
        <v>14</v>
      </c>
      <c r="H53">
        <v>17</v>
      </c>
      <c r="I53" t="s">
        <v>199</v>
      </c>
      <c r="J53" t="s">
        <v>30</v>
      </c>
    </row>
    <row r="54" spans="1:13" x14ac:dyDescent="0.2">
      <c r="A54">
        <v>44</v>
      </c>
      <c r="B54" t="s">
        <v>149</v>
      </c>
      <c r="C54" s="1">
        <v>45142</v>
      </c>
      <c r="D54" s="1">
        <v>45142</v>
      </c>
      <c r="E54">
        <v>95</v>
      </c>
      <c r="F54">
        <f>3400-500</f>
        <v>2900</v>
      </c>
      <c r="G54" t="s">
        <v>14</v>
      </c>
      <c r="H54">
        <v>16</v>
      </c>
      <c r="I54" t="s">
        <v>190</v>
      </c>
      <c r="J54" t="s">
        <v>30</v>
      </c>
    </row>
    <row r="55" spans="1:13" x14ac:dyDescent="0.2">
      <c r="A55">
        <v>33</v>
      </c>
      <c r="B55" t="s">
        <v>51</v>
      </c>
      <c r="C55" s="1">
        <v>45108</v>
      </c>
      <c r="D55" s="1">
        <v>45109</v>
      </c>
      <c r="E55">
        <v>95</v>
      </c>
      <c r="F55">
        <f>5800-500</f>
        <v>5300</v>
      </c>
      <c r="G55" t="s">
        <v>14</v>
      </c>
      <c r="H55">
        <v>19</v>
      </c>
      <c r="I55" t="s">
        <v>190</v>
      </c>
      <c r="J55" t="s">
        <v>30</v>
      </c>
      <c r="L55" t="s">
        <v>193</v>
      </c>
    </row>
    <row r="56" spans="1:13" x14ac:dyDescent="0.2">
      <c r="A56">
        <v>54</v>
      </c>
      <c r="B56" t="s">
        <v>161</v>
      </c>
      <c r="D56" s="1">
        <v>45158</v>
      </c>
      <c r="E56" t="s">
        <v>46</v>
      </c>
      <c r="F56">
        <v>1450</v>
      </c>
      <c r="G56" t="s">
        <v>14</v>
      </c>
      <c r="H56">
        <v>15</v>
      </c>
      <c r="I56" t="s">
        <v>190</v>
      </c>
      <c r="J56" t="s">
        <v>30</v>
      </c>
    </row>
    <row r="57" spans="1:13" x14ac:dyDescent="0.2">
      <c r="A57">
        <v>16</v>
      </c>
      <c r="B57" t="s">
        <v>13</v>
      </c>
      <c r="C57" s="1">
        <v>45101</v>
      </c>
      <c r="D57" s="1">
        <v>45101</v>
      </c>
      <c r="E57" t="s">
        <v>46</v>
      </c>
      <c r="F57" t="s">
        <v>46</v>
      </c>
      <c r="G57" t="s">
        <v>14</v>
      </c>
      <c r="H57">
        <v>16</v>
      </c>
      <c r="I57" t="s">
        <v>190</v>
      </c>
      <c r="J57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BF51-2906-9C48-A4CB-8FCDA21FA3CF}">
  <dimension ref="A1:L24"/>
  <sheetViews>
    <sheetView workbookViewId="0">
      <selection activeCell="B13" sqref="B13"/>
    </sheetView>
  </sheetViews>
  <sheetFormatPr baseColWidth="10" defaultRowHeight="16" x14ac:dyDescent="0.2"/>
  <cols>
    <col min="2" max="2" width="41.6640625" customWidth="1"/>
    <col min="4" max="4" width="18.6640625" customWidth="1"/>
    <col min="6" max="6" width="18.83203125" customWidth="1"/>
    <col min="8" max="8" width="16.6640625" customWidth="1"/>
    <col min="10" max="10" width="50" customWidth="1"/>
    <col min="11" max="11" width="10.83203125" customWidth="1"/>
    <col min="12" max="12" width="28.83203125" customWidth="1"/>
  </cols>
  <sheetData>
    <row r="1" spans="1:12" x14ac:dyDescent="0.2">
      <c r="A1" s="38" t="s">
        <v>323</v>
      </c>
      <c r="B1" s="39"/>
      <c r="C1" s="39"/>
      <c r="D1" s="39"/>
      <c r="E1" s="39"/>
      <c r="F1" s="39"/>
    </row>
    <row r="2" spans="1:12" x14ac:dyDescent="0.2">
      <c r="A2" s="37" t="s">
        <v>318</v>
      </c>
      <c r="B2" s="37"/>
      <c r="C2" s="36" t="s">
        <v>319</v>
      </c>
      <c r="D2" s="36"/>
      <c r="E2" s="37" t="s">
        <v>320</v>
      </c>
      <c r="F2" s="37"/>
    </row>
    <row r="3" spans="1:12" x14ac:dyDescent="0.2">
      <c r="A3" t="s">
        <v>108</v>
      </c>
      <c r="B3" t="s">
        <v>75</v>
      </c>
      <c r="C3" t="s">
        <v>108</v>
      </c>
      <c r="D3" t="s">
        <v>132</v>
      </c>
      <c r="E3" t="s">
        <v>108</v>
      </c>
      <c r="F3" t="s">
        <v>132</v>
      </c>
    </row>
    <row r="4" spans="1:12" x14ac:dyDescent="0.2">
      <c r="A4" t="s">
        <v>238</v>
      </c>
      <c r="B4" t="s">
        <v>315</v>
      </c>
      <c r="C4" t="s">
        <v>238</v>
      </c>
      <c r="D4" t="s">
        <v>99</v>
      </c>
      <c r="E4" t="s">
        <v>238</v>
      </c>
      <c r="F4" t="s">
        <v>99</v>
      </c>
    </row>
    <row r="5" spans="1:12" x14ac:dyDescent="0.2">
      <c r="A5" t="s">
        <v>237</v>
      </c>
      <c r="B5" t="s">
        <v>140</v>
      </c>
      <c r="C5" t="s">
        <v>237</v>
      </c>
      <c r="D5" t="s">
        <v>90</v>
      </c>
      <c r="E5" t="s">
        <v>237</v>
      </c>
      <c r="F5" t="s">
        <v>90</v>
      </c>
    </row>
    <row r="6" spans="1:12" x14ac:dyDescent="0.2">
      <c r="A6" t="s">
        <v>245</v>
      </c>
      <c r="B6" t="s">
        <v>316</v>
      </c>
      <c r="C6" t="s">
        <v>245</v>
      </c>
      <c r="D6" t="s">
        <v>73</v>
      </c>
      <c r="E6" t="s">
        <v>245</v>
      </c>
      <c r="F6" t="s">
        <v>73</v>
      </c>
    </row>
    <row r="7" spans="1:12" x14ac:dyDescent="0.2">
      <c r="A7" t="s">
        <v>239</v>
      </c>
      <c r="B7" t="s">
        <v>317</v>
      </c>
      <c r="C7" t="s">
        <v>239</v>
      </c>
      <c r="D7" t="s">
        <v>82</v>
      </c>
      <c r="E7" t="s">
        <v>239</v>
      </c>
      <c r="F7" t="s">
        <v>82</v>
      </c>
    </row>
    <row r="8" spans="1:12" x14ac:dyDescent="0.2">
      <c r="A8" s="38" t="s">
        <v>324</v>
      </c>
      <c r="B8" s="39"/>
    </row>
    <row r="9" spans="1:12" x14ac:dyDescent="0.2">
      <c r="A9" s="36" t="s">
        <v>241</v>
      </c>
      <c r="B9" s="36"/>
    </row>
    <row r="10" spans="1:12" x14ac:dyDescent="0.2">
      <c r="A10" t="s">
        <v>108</v>
      </c>
      <c r="B10" t="s">
        <v>321</v>
      </c>
    </row>
    <row r="11" spans="1:12" x14ac:dyDescent="0.2">
      <c r="A11" t="s">
        <v>238</v>
      </c>
      <c r="B11" t="s">
        <v>89</v>
      </c>
    </row>
    <row r="12" spans="1:12" x14ac:dyDescent="0.2">
      <c r="A12" t="s">
        <v>237</v>
      </c>
      <c r="B12" t="s">
        <v>322</v>
      </c>
    </row>
    <row r="13" spans="1:12" x14ac:dyDescent="0.2">
      <c r="A13" t="s">
        <v>245</v>
      </c>
      <c r="B13" t="s">
        <v>80</v>
      </c>
    </row>
    <row r="14" spans="1:12" x14ac:dyDescent="0.2">
      <c r="A14" t="s">
        <v>239</v>
      </c>
      <c r="B14" t="s">
        <v>81</v>
      </c>
    </row>
    <row r="15" spans="1:12" x14ac:dyDescent="0.2">
      <c r="A15" s="38" t="s">
        <v>325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x14ac:dyDescent="0.2">
      <c r="A16" s="37" t="s">
        <v>249</v>
      </c>
      <c r="B16" s="37"/>
      <c r="C16" s="36" t="s">
        <v>253</v>
      </c>
      <c r="D16" s="36"/>
      <c r="E16" s="37" t="s">
        <v>258</v>
      </c>
      <c r="F16" s="37"/>
      <c r="G16" s="36" t="s">
        <v>265</v>
      </c>
      <c r="H16" s="36"/>
      <c r="I16" s="37" t="s">
        <v>274</v>
      </c>
      <c r="J16" s="37"/>
      <c r="K16" s="36" t="s">
        <v>282</v>
      </c>
      <c r="L16" s="36"/>
    </row>
    <row r="17" spans="1:12" x14ac:dyDescent="0.2">
      <c r="A17" t="s">
        <v>108</v>
      </c>
      <c r="B17" t="s">
        <v>242</v>
      </c>
      <c r="C17" t="s">
        <v>108</v>
      </c>
      <c r="D17" t="s">
        <v>250</v>
      </c>
      <c r="E17" t="s">
        <v>108</v>
      </c>
      <c r="F17" t="s">
        <v>254</v>
      </c>
      <c r="G17" t="s">
        <v>108</v>
      </c>
      <c r="H17" t="s">
        <v>260</v>
      </c>
      <c r="I17" t="s">
        <v>108</v>
      </c>
      <c r="J17" t="s">
        <v>267</v>
      </c>
      <c r="K17" t="s">
        <v>108</v>
      </c>
      <c r="L17" t="s">
        <v>275</v>
      </c>
    </row>
    <row r="18" spans="1:12" x14ac:dyDescent="0.2">
      <c r="A18" t="s">
        <v>238</v>
      </c>
      <c r="B18" t="s">
        <v>243</v>
      </c>
      <c r="C18" t="s">
        <v>238</v>
      </c>
      <c r="D18" t="s">
        <v>251</v>
      </c>
      <c r="E18" t="s">
        <v>238</v>
      </c>
      <c r="F18" t="s">
        <v>255</v>
      </c>
      <c r="G18" t="s">
        <v>238</v>
      </c>
      <c r="H18" t="s">
        <v>261</v>
      </c>
      <c r="I18" t="s">
        <v>238</v>
      </c>
      <c r="J18" t="s">
        <v>268</v>
      </c>
      <c r="K18" t="s">
        <v>238</v>
      </c>
      <c r="L18" t="s">
        <v>276</v>
      </c>
    </row>
    <row r="19" spans="1:12" x14ac:dyDescent="0.2">
      <c r="A19" t="s">
        <v>237</v>
      </c>
      <c r="B19" t="s">
        <v>244</v>
      </c>
      <c r="C19" t="s">
        <v>237</v>
      </c>
      <c r="D19" t="s">
        <v>252</v>
      </c>
      <c r="E19" t="s">
        <v>237</v>
      </c>
      <c r="F19" t="s">
        <v>256</v>
      </c>
      <c r="G19" t="s">
        <v>237</v>
      </c>
      <c r="H19" t="s">
        <v>262</v>
      </c>
      <c r="I19" t="s">
        <v>237</v>
      </c>
      <c r="J19" t="s">
        <v>269</v>
      </c>
      <c r="K19" t="s">
        <v>237</v>
      </c>
      <c r="L19" t="s">
        <v>277</v>
      </c>
    </row>
    <row r="20" spans="1:12" x14ac:dyDescent="0.2">
      <c r="A20" t="s">
        <v>245</v>
      </c>
      <c r="B20" t="s">
        <v>246</v>
      </c>
      <c r="C20" t="s">
        <v>245</v>
      </c>
      <c r="D20" t="s">
        <v>248</v>
      </c>
      <c r="E20" t="s">
        <v>245</v>
      </c>
      <c r="F20" t="s">
        <v>257</v>
      </c>
      <c r="G20" t="s">
        <v>245</v>
      </c>
      <c r="H20" t="s">
        <v>263</v>
      </c>
      <c r="I20" t="s">
        <v>245</v>
      </c>
      <c r="J20" t="s">
        <v>270</v>
      </c>
      <c r="K20" t="s">
        <v>245</v>
      </c>
      <c r="L20" t="s">
        <v>278</v>
      </c>
    </row>
    <row r="21" spans="1:12" x14ac:dyDescent="0.2">
      <c r="A21" t="s">
        <v>239</v>
      </c>
      <c r="B21" t="s">
        <v>247</v>
      </c>
      <c r="E21" t="s">
        <v>239</v>
      </c>
      <c r="F21" t="s">
        <v>84</v>
      </c>
      <c r="G21" t="s">
        <v>239</v>
      </c>
      <c r="H21" t="s">
        <v>264</v>
      </c>
      <c r="I21" t="s">
        <v>239</v>
      </c>
      <c r="J21" t="s">
        <v>271</v>
      </c>
      <c r="K21" t="s">
        <v>239</v>
      </c>
      <c r="L21" t="s">
        <v>279</v>
      </c>
    </row>
    <row r="22" spans="1:12" x14ac:dyDescent="0.2">
      <c r="A22" t="s">
        <v>240</v>
      </c>
      <c r="B22" t="s">
        <v>248</v>
      </c>
      <c r="E22" t="s">
        <v>240</v>
      </c>
      <c r="F22" t="s">
        <v>248</v>
      </c>
      <c r="G22" t="s">
        <v>240</v>
      </c>
      <c r="H22" t="s">
        <v>248</v>
      </c>
      <c r="I22" t="s">
        <v>240</v>
      </c>
      <c r="J22" t="s">
        <v>272</v>
      </c>
      <c r="K22" t="s">
        <v>240</v>
      </c>
      <c r="L22" t="s">
        <v>280</v>
      </c>
    </row>
    <row r="23" spans="1:12" x14ac:dyDescent="0.2">
      <c r="G23" t="s">
        <v>259</v>
      </c>
      <c r="H23" t="s">
        <v>317</v>
      </c>
      <c r="I23" t="s">
        <v>259</v>
      </c>
      <c r="J23" t="s">
        <v>273</v>
      </c>
      <c r="K23" t="s">
        <v>259</v>
      </c>
      <c r="L23" t="s">
        <v>281</v>
      </c>
    </row>
    <row r="24" spans="1:12" x14ac:dyDescent="0.2">
      <c r="I24" t="s">
        <v>266</v>
      </c>
      <c r="J24" t="s">
        <v>248</v>
      </c>
      <c r="K24" t="s">
        <v>266</v>
      </c>
      <c r="L24" t="s">
        <v>248</v>
      </c>
    </row>
  </sheetData>
  <mergeCells count="13">
    <mergeCell ref="G16:H16"/>
    <mergeCell ref="I16:J16"/>
    <mergeCell ref="K16:L16"/>
    <mergeCell ref="A1:F1"/>
    <mergeCell ref="A8:B8"/>
    <mergeCell ref="A15:L15"/>
    <mergeCell ref="A2:B2"/>
    <mergeCell ref="C2:D2"/>
    <mergeCell ref="E2:F2"/>
    <mergeCell ref="A9:B9"/>
    <mergeCell ref="A16:B16"/>
    <mergeCell ref="C16:D16"/>
    <mergeCell ref="E16:F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3D49-68C6-EB4D-99B5-B2A5B5111F8F}">
  <dimension ref="A1:AQ39"/>
  <sheetViews>
    <sheetView topLeftCell="AB5" workbookViewId="0">
      <selection activeCell="AI14" sqref="AI14"/>
    </sheetView>
  </sheetViews>
  <sheetFormatPr baseColWidth="10" defaultRowHeight="16" x14ac:dyDescent="0.2"/>
  <cols>
    <col min="25" max="25" width="32.1640625" customWidth="1"/>
    <col min="26" max="26" width="30.1640625" customWidth="1"/>
    <col min="27" max="27" width="27.1640625" customWidth="1"/>
    <col min="28" max="28" width="24.1640625" customWidth="1"/>
    <col min="29" max="29" width="23.1640625" customWidth="1"/>
    <col min="30" max="30" width="22.5" customWidth="1"/>
    <col min="31" max="31" width="33.83203125" customWidth="1"/>
    <col min="32" max="32" width="36" customWidth="1"/>
  </cols>
  <sheetData>
    <row r="1" spans="1:43" ht="85" x14ac:dyDescent="0.2">
      <c r="A1" t="s">
        <v>0</v>
      </c>
      <c r="B1" t="s">
        <v>1</v>
      </c>
      <c r="C1" t="s">
        <v>3</v>
      </c>
      <c r="D1" t="s">
        <v>413</v>
      </c>
      <c r="E1" t="s">
        <v>2</v>
      </c>
      <c r="F1" t="s">
        <v>4</v>
      </c>
      <c r="G1" t="s">
        <v>65</v>
      </c>
      <c r="H1" t="s">
        <v>5</v>
      </c>
      <c r="I1" t="s">
        <v>6</v>
      </c>
      <c r="J1" s="8" t="s">
        <v>361</v>
      </c>
      <c r="K1" t="s">
        <v>7</v>
      </c>
      <c r="L1" t="s">
        <v>8</v>
      </c>
      <c r="M1" t="s">
        <v>15</v>
      </c>
      <c r="N1" t="s">
        <v>416</v>
      </c>
      <c r="O1" t="s">
        <v>16</v>
      </c>
      <c r="P1" t="s">
        <v>17</v>
      </c>
      <c r="Q1" t="s">
        <v>18</v>
      </c>
      <c r="R1" t="s">
        <v>9</v>
      </c>
      <c r="S1" t="s">
        <v>10</v>
      </c>
      <c r="T1" t="s">
        <v>11</v>
      </c>
      <c r="U1" t="s">
        <v>213</v>
      </c>
      <c r="V1" t="s">
        <v>206</v>
      </c>
      <c r="W1" t="s">
        <v>21</v>
      </c>
      <c r="X1" t="s">
        <v>400</v>
      </c>
      <c r="Y1" t="s">
        <v>74</v>
      </c>
      <c r="Z1" s="11" t="s">
        <v>67</v>
      </c>
      <c r="AA1" s="11" t="s">
        <v>68</v>
      </c>
      <c r="AB1" s="11" t="s">
        <v>69</v>
      </c>
      <c r="AC1" s="11" t="s">
        <v>12</v>
      </c>
      <c r="AD1" s="11" t="s">
        <v>70</v>
      </c>
      <c r="AE1" s="11" t="s">
        <v>71</v>
      </c>
      <c r="AF1" s="11" t="s">
        <v>390</v>
      </c>
      <c r="AG1" t="s">
        <v>77</v>
      </c>
      <c r="AH1" t="s">
        <v>78</v>
      </c>
      <c r="AI1" t="s">
        <v>381</v>
      </c>
      <c r="AJ1" t="s">
        <v>79</v>
      </c>
      <c r="AK1" t="s">
        <v>387</v>
      </c>
      <c r="AL1" t="s">
        <v>200</v>
      </c>
      <c r="AM1" t="s">
        <v>201</v>
      </c>
      <c r="AN1" t="s">
        <v>202</v>
      </c>
      <c r="AO1" t="s">
        <v>205</v>
      </c>
      <c r="AP1" t="s">
        <v>203</v>
      </c>
      <c r="AQ1" t="s">
        <v>204</v>
      </c>
    </row>
    <row r="2" spans="1:43" ht="17" x14ac:dyDescent="0.2">
      <c r="A2">
        <v>10</v>
      </c>
      <c r="B2" s="1">
        <v>45109</v>
      </c>
      <c r="C2" s="2">
        <v>0.52777777777777779</v>
      </c>
      <c r="D2" s="2" t="s">
        <v>415</v>
      </c>
      <c r="E2" t="s">
        <v>43</v>
      </c>
      <c r="F2">
        <v>2</v>
      </c>
      <c r="G2" t="s">
        <v>14</v>
      </c>
      <c r="H2" s="4">
        <v>0.41666666666666669</v>
      </c>
      <c r="I2" s="2">
        <v>0.41666666666666669</v>
      </c>
      <c r="J2" s="8">
        <v>1</v>
      </c>
      <c r="K2">
        <v>48</v>
      </c>
      <c r="L2" t="s">
        <v>14</v>
      </c>
      <c r="M2">
        <v>1</v>
      </c>
      <c r="N2">
        <f>Table22[[#This Row],[burbot caught]]/Table22[[#This Row],[Total hours]]</f>
        <v>2.0833333333333332E-2</v>
      </c>
      <c r="O2">
        <v>1</v>
      </c>
      <c r="P2">
        <v>0</v>
      </c>
      <c r="Q2">
        <v>0</v>
      </c>
      <c r="R2" t="s">
        <v>14</v>
      </c>
      <c r="S2" t="s">
        <v>19</v>
      </c>
      <c r="T2" t="s">
        <v>223</v>
      </c>
      <c r="U2" t="s">
        <v>44</v>
      </c>
      <c r="V2" t="s">
        <v>46</v>
      </c>
      <c r="W2" t="s">
        <v>292</v>
      </c>
      <c r="X2" t="s">
        <v>402</v>
      </c>
      <c r="Y2" s="14" t="s">
        <v>108</v>
      </c>
      <c r="Z2" s="14" t="s">
        <v>93</v>
      </c>
      <c r="AA2" s="14" t="s">
        <v>95</v>
      </c>
      <c r="AB2" s="14" t="s">
        <v>72</v>
      </c>
      <c r="AC2" s="14" t="s">
        <v>90</v>
      </c>
      <c r="AD2" s="14" t="s">
        <v>73</v>
      </c>
      <c r="AE2" s="14" t="s">
        <v>96</v>
      </c>
      <c r="AF2" s="14" t="s">
        <v>394</v>
      </c>
      <c r="AG2" t="s">
        <v>238</v>
      </c>
      <c r="AH2" t="s">
        <v>328</v>
      </c>
      <c r="AI2" t="s">
        <v>382</v>
      </c>
      <c r="AJ2" t="s">
        <v>97</v>
      </c>
      <c r="AK2" t="s">
        <v>382</v>
      </c>
      <c r="AL2" t="s">
        <v>237</v>
      </c>
      <c r="AM2" t="s">
        <v>238</v>
      </c>
      <c r="AN2" t="s">
        <v>239</v>
      </c>
      <c r="AO2" t="s">
        <v>238</v>
      </c>
      <c r="AP2" t="s">
        <v>238</v>
      </c>
      <c r="AQ2" t="s">
        <v>266</v>
      </c>
    </row>
    <row r="3" spans="1:43" ht="34" x14ac:dyDescent="0.2">
      <c r="A3">
        <v>12</v>
      </c>
      <c r="B3" s="1">
        <v>45109</v>
      </c>
      <c r="C3" s="2">
        <v>0.65625</v>
      </c>
      <c r="D3" s="2" t="s">
        <v>415</v>
      </c>
      <c r="E3" t="s">
        <v>50</v>
      </c>
      <c r="F3">
        <v>2</v>
      </c>
      <c r="G3" t="s">
        <v>14</v>
      </c>
      <c r="H3" s="2">
        <v>0.54166666666666663</v>
      </c>
      <c r="I3" s="2">
        <v>0.47916666666666669</v>
      </c>
      <c r="J3" s="8">
        <v>1</v>
      </c>
      <c r="K3">
        <v>42</v>
      </c>
      <c r="L3" t="s">
        <v>14</v>
      </c>
      <c r="M3">
        <v>0</v>
      </c>
      <c r="N3">
        <f>Table22[[#This Row],[burbot caught]]/Table22[[#This Row],[Total hours]]</f>
        <v>0</v>
      </c>
      <c r="O3">
        <v>0</v>
      </c>
      <c r="P3">
        <v>0</v>
      </c>
      <c r="Q3">
        <v>0</v>
      </c>
      <c r="R3" t="s">
        <v>30</v>
      </c>
      <c r="S3" t="s">
        <v>19</v>
      </c>
      <c r="T3" t="s">
        <v>224</v>
      </c>
      <c r="U3" t="s">
        <v>47</v>
      </c>
      <c r="V3" t="s">
        <v>46</v>
      </c>
      <c r="W3" t="s">
        <v>236</v>
      </c>
      <c r="X3" t="s">
        <v>402</v>
      </c>
      <c r="Y3" s="14" t="s">
        <v>108</v>
      </c>
      <c r="Z3" s="14" t="s">
        <v>46</v>
      </c>
      <c r="AA3" s="14" t="s">
        <v>46</v>
      </c>
      <c r="AB3" s="14" t="s">
        <v>86</v>
      </c>
      <c r="AC3" s="14" t="s">
        <v>73</v>
      </c>
      <c r="AD3" s="14" t="s">
        <v>82</v>
      </c>
      <c r="AE3" s="14" t="s">
        <v>338</v>
      </c>
      <c r="AF3" s="14" t="s">
        <v>393</v>
      </c>
      <c r="AG3" t="s">
        <v>108</v>
      </c>
      <c r="AH3" t="s">
        <v>328</v>
      </c>
      <c r="AI3" t="s">
        <v>382</v>
      </c>
      <c r="AJ3" t="s">
        <v>46</v>
      </c>
      <c r="AK3" t="s">
        <v>46</v>
      </c>
      <c r="AL3" t="s">
        <v>238</v>
      </c>
      <c r="AM3" t="s">
        <v>238</v>
      </c>
      <c r="AN3" t="s">
        <v>239</v>
      </c>
      <c r="AO3" t="s">
        <v>238</v>
      </c>
      <c r="AP3" t="s">
        <v>245</v>
      </c>
      <c r="AQ3" t="s">
        <v>266</v>
      </c>
    </row>
    <row r="4" spans="1:43" ht="17" x14ac:dyDescent="0.2">
      <c r="A4">
        <v>13</v>
      </c>
      <c r="B4" s="1">
        <v>45109</v>
      </c>
      <c r="C4" s="2">
        <v>0.66666666666666663</v>
      </c>
      <c r="D4" s="2" t="s">
        <v>415</v>
      </c>
      <c r="E4" t="s">
        <v>51</v>
      </c>
      <c r="F4">
        <v>2</v>
      </c>
      <c r="G4" t="s">
        <v>14</v>
      </c>
      <c r="H4" s="2">
        <v>0.83333333333333337</v>
      </c>
      <c r="I4" s="2" t="s">
        <v>52</v>
      </c>
      <c r="J4" s="8">
        <v>1</v>
      </c>
      <c r="K4">
        <v>26</v>
      </c>
      <c r="L4" t="s">
        <v>14</v>
      </c>
      <c r="M4">
        <v>1</v>
      </c>
      <c r="N4">
        <f>Table22[[#This Row],[burbot caught]]/Table22[[#This Row],[Total hours]]</f>
        <v>3.8461538461538464E-2</v>
      </c>
      <c r="O4">
        <v>1</v>
      </c>
      <c r="P4">
        <v>0</v>
      </c>
      <c r="Q4">
        <v>0</v>
      </c>
      <c r="R4" t="s">
        <v>30</v>
      </c>
      <c r="S4" t="s">
        <v>19</v>
      </c>
      <c r="T4" t="s">
        <v>225</v>
      </c>
      <c r="U4" t="s">
        <v>53</v>
      </c>
      <c r="V4" t="s">
        <v>46</v>
      </c>
      <c r="W4" t="s">
        <v>54</v>
      </c>
      <c r="X4" t="s">
        <v>407</v>
      </c>
      <c r="Y4" s="14" t="s">
        <v>108</v>
      </c>
      <c r="Z4" s="14" t="s">
        <v>85</v>
      </c>
      <c r="AA4" s="14" t="s">
        <v>52</v>
      </c>
      <c r="AB4" s="14" t="s">
        <v>86</v>
      </c>
      <c r="AC4" s="14" t="s">
        <v>73</v>
      </c>
      <c r="AD4" s="14" t="s">
        <v>82</v>
      </c>
      <c r="AE4" s="14" t="s">
        <v>339</v>
      </c>
      <c r="AF4" s="14" t="s">
        <v>382</v>
      </c>
      <c r="AG4" t="s">
        <v>238</v>
      </c>
      <c r="AH4" t="s">
        <v>328</v>
      </c>
      <c r="AI4" t="s">
        <v>382</v>
      </c>
      <c r="AJ4" t="s">
        <v>328</v>
      </c>
      <c r="AK4" t="s">
        <v>382</v>
      </c>
      <c r="AL4" t="s">
        <v>245</v>
      </c>
      <c r="AM4" t="s">
        <v>237</v>
      </c>
      <c r="AN4" t="s">
        <v>239</v>
      </c>
      <c r="AO4" t="s">
        <v>238</v>
      </c>
      <c r="AP4" t="s">
        <v>237</v>
      </c>
      <c r="AQ4" t="s">
        <v>266</v>
      </c>
    </row>
    <row r="5" spans="1:43" ht="51" x14ac:dyDescent="0.2">
      <c r="A5">
        <v>15</v>
      </c>
      <c r="B5" s="1">
        <v>45111</v>
      </c>
      <c r="C5" s="2">
        <v>0.5</v>
      </c>
      <c r="D5" s="2" t="s">
        <v>414</v>
      </c>
      <c r="E5" t="s">
        <v>57</v>
      </c>
      <c r="F5">
        <v>2</v>
      </c>
      <c r="G5" t="s">
        <v>14</v>
      </c>
      <c r="H5" s="2">
        <v>0.8125</v>
      </c>
      <c r="I5" s="2">
        <v>0.39583333333333331</v>
      </c>
      <c r="J5" s="8">
        <v>1</v>
      </c>
      <c r="K5">
        <f>14*2</f>
        <v>28</v>
      </c>
      <c r="L5" t="s">
        <v>14</v>
      </c>
      <c r="M5">
        <v>1</v>
      </c>
      <c r="N5">
        <f>Table22[[#This Row],[burbot caught]]/Table22[[#This Row],[Total hours]]</f>
        <v>3.5714285714285712E-2</v>
      </c>
      <c r="O5">
        <v>1</v>
      </c>
      <c r="P5">
        <v>0</v>
      </c>
      <c r="Q5">
        <v>0</v>
      </c>
      <c r="R5" t="s">
        <v>14</v>
      </c>
      <c r="S5" t="s">
        <v>19</v>
      </c>
      <c r="T5" t="s">
        <v>221</v>
      </c>
      <c r="U5" t="s">
        <v>39</v>
      </c>
      <c r="V5" t="s">
        <v>46</v>
      </c>
      <c r="W5" t="s">
        <v>297</v>
      </c>
      <c r="X5" t="s">
        <v>411</v>
      </c>
      <c r="Y5" s="14" t="s">
        <v>108</v>
      </c>
      <c r="Z5" s="14" t="s">
        <v>46</v>
      </c>
      <c r="AA5" s="14" t="s">
        <v>46</v>
      </c>
      <c r="AB5" s="14" t="s">
        <v>86</v>
      </c>
      <c r="AC5" s="14" t="s">
        <v>73</v>
      </c>
      <c r="AD5" s="14" t="s">
        <v>82</v>
      </c>
      <c r="AE5" s="14" t="s">
        <v>103</v>
      </c>
      <c r="AF5" s="14" t="s">
        <v>391</v>
      </c>
      <c r="AG5" t="s">
        <v>108</v>
      </c>
      <c r="AH5" t="s">
        <v>328</v>
      </c>
      <c r="AI5" t="s">
        <v>382</v>
      </c>
      <c r="AJ5" t="s">
        <v>46</v>
      </c>
      <c r="AK5" t="s">
        <v>46</v>
      </c>
      <c r="AL5" t="s">
        <v>237</v>
      </c>
      <c r="AM5" t="s">
        <v>238</v>
      </c>
      <c r="AN5" t="s">
        <v>239</v>
      </c>
      <c r="AO5" t="s">
        <v>108</v>
      </c>
      <c r="AP5" t="s">
        <v>237</v>
      </c>
      <c r="AQ5" t="s">
        <v>266</v>
      </c>
    </row>
    <row r="6" spans="1:43" ht="102" x14ac:dyDescent="0.2">
      <c r="A6">
        <v>16</v>
      </c>
      <c r="B6" s="1">
        <v>45112</v>
      </c>
      <c r="C6" s="2">
        <v>0.40972222222222227</v>
      </c>
      <c r="D6" s="2" t="s">
        <v>414</v>
      </c>
      <c r="E6" t="s">
        <v>58</v>
      </c>
      <c r="F6" t="s">
        <v>59</v>
      </c>
      <c r="G6" t="s">
        <v>14</v>
      </c>
      <c r="H6" s="2">
        <v>0.625</v>
      </c>
      <c r="I6" s="2">
        <v>0.45833333333333331</v>
      </c>
      <c r="J6" s="8">
        <v>5</v>
      </c>
      <c r="K6">
        <f>8*5</f>
        <v>40</v>
      </c>
      <c r="L6" t="s">
        <v>14</v>
      </c>
      <c r="M6">
        <v>2</v>
      </c>
      <c r="N6">
        <f>Table22[[#This Row],[burbot caught]]/Table22[[#This Row],[Total hours]]</f>
        <v>0.05</v>
      </c>
      <c r="O6">
        <v>2</v>
      </c>
      <c r="P6">
        <v>0</v>
      </c>
      <c r="Q6">
        <v>0</v>
      </c>
      <c r="R6" t="s">
        <v>30</v>
      </c>
      <c r="S6" t="s">
        <v>19</v>
      </c>
      <c r="T6" t="s">
        <v>221</v>
      </c>
      <c r="U6" t="s">
        <v>39</v>
      </c>
      <c r="V6" t="s">
        <v>46</v>
      </c>
      <c r="W6" t="s">
        <v>299</v>
      </c>
      <c r="X6" t="s">
        <v>402</v>
      </c>
      <c r="Y6" s="14" t="s">
        <v>108</v>
      </c>
      <c r="Z6" s="14" t="s">
        <v>46</v>
      </c>
      <c r="AA6" s="14" t="s">
        <v>46</v>
      </c>
      <c r="AB6" s="14" t="s">
        <v>72</v>
      </c>
      <c r="AC6" s="14" t="s">
        <v>73</v>
      </c>
      <c r="AD6" s="14" t="s">
        <v>82</v>
      </c>
      <c r="AE6" s="14" t="s">
        <v>104</v>
      </c>
      <c r="AF6" s="14" t="s">
        <v>394</v>
      </c>
      <c r="AG6" t="s">
        <v>46</v>
      </c>
      <c r="AH6" t="s">
        <v>105</v>
      </c>
      <c r="AI6" t="s">
        <v>386</v>
      </c>
      <c r="AJ6" t="s">
        <v>106</v>
      </c>
      <c r="AK6" t="s">
        <v>388</v>
      </c>
      <c r="AL6" t="s">
        <v>237</v>
      </c>
      <c r="AM6" t="s">
        <v>238</v>
      </c>
      <c r="AN6" t="s">
        <v>239</v>
      </c>
      <c r="AO6" t="s">
        <v>238</v>
      </c>
      <c r="AP6" t="s">
        <v>245</v>
      </c>
      <c r="AQ6" t="s">
        <v>240</v>
      </c>
    </row>
    <row r="7" spans="1:43" ht="17" x14ac:dyDescent="0.2">
      <c r="A7">
        <v>17</v>
      </c>
      <c r="B7" s="1">
        <v>45112</v>
      </c>
      <c r="C7" s="2">
        <v>0.43055555555555558</v>
      </c>
      <c r="D7" s="2" t="s">
        <v>414</v>
      </c>
      <c r="E7" t="s">
        <v>61</v>
      </c>
      <c r="F7">
        <v>6</v>
      </c>
      <c r="G7" t="s">
        <v>14</v>
      </c>
      <c r="H7" s="2">
        <v>0.75</v>
      </c>
      <c r="I7" s="2">
        <v>0.40625</v>
      </c>
      <c r="J7" s="8">
        <v>3</v>
      </c>
      <c r="K7">
        <f>15.75*4*3</f>
        <v>189</v>
      </c>
      <c r="L7" t="s">
        <v>14</v>
      </c>
      <c r="M7">
        <v>1</v>
      </c>
      <c r="N7">
        <f>Table22[[#This Row],[burbot caught]]/Table22[[#This Row],[Total hours]]</f>
        <v>5.2910052910052907E-3</v>
      </c>
      <c r="O7">
        <v>1</v>
      </c>
      <c r="P7">
        <v>0</v>
      </c>
      <c r="Q7">
        <v>0</v>
      </c>
      <c r="R7" t="s">
        <v>14</v>
      </c>
      <c r="S7" t="s">
        <v>19</v>
      </c>
      <c r="T7" t="s">
        <v>224</v>
      </c>
      <c r="U7" t="s">
        <v>47</v>
      </c>
      <c r="V7" t="s">
        <v>46</v>
      </c>
      <c r="W7" t="s">
        <v>301</v>
      </c>
      <c r="X7" t="s">
        <v>401</v>
      </c>
      <c r="Y7" s="14" t="s">
        <v>108</v>
      </c>
      <c r="Z7" s="14" t="s">
        <v>93</v>
      </c>
      <c r="AA7" s="14" t="s">
        <v>109</v>
      </c>
      <c r="AB7" s="14" t="s">
        <v>86</v>
      </c>
      <c r="AC7" s="14" t="s">
        <v>73</v>
      </c>
      <c r="AD7" s="14" t="s">
        <v>82</v>
      </c>
      <c r="AE7" s="14" t="s">
        <v>46</v>
      </c>
      <c r="AF7" s="14" t="s">
        <v>46</v>
      </c>
      <c r="AG7" t="s">
        <v>238</v>
      </c>
      <c r="AH7" t="s">
        <v>328</v>
      </c>
      <c r="AI7" t="s">
        <v>382</v>
      </c>
      <c r="AJ7" t="s">
        <v>328</v>
      </c>
      <c r="AK7" t="s">
        <v>382</v>
      </c>
      <c r="AL7" t="s">
        <v>238</v>
      </c>
      <c r="AM7" t="s">
        <v>237</v>
      </c>
      <c r="AN7" t="s">
        <v>239</v>
      </c>
      <c r="AO7" t="s">
        <v>238</v>
      </c>
      <c r="AP7" t="s">
        <v>245</v>
      </c>
      <c r="AQ7" t="s">
        <v>245</v>
      </c>
    </row>
    <row r="8" spans="1:43" ht="17" x14ac:dyDescent="0.2">
      <c r="A8">
        <v>22</v>
      </c>
      <c r="B8" s="1">
        <v>45130</v>
      </c>
      <c r="C8" s="2">
        <v>0.45833333333333331</v>
      </c>
      <c r="D8" s="2" t="s">
        <v>415</v>
      </c>
      <c r="E8" t="s">
        <v>112</v>
      </c>
      <c r="F8">
        <v>3</v>
      </c>
      <c r="G8" t="s">
        <v>14</v>
      </c>
      <c r="H8" s="2">
        <v>0.91666666666666663</v>
      </c>
      <c r="I8" s="2">
        <v>0.375</v>
      </c>
      <c r="J8" s="8">
        <v>1</v>
      </c>
      <c r="K8">
        <v>33</v>
      </c>
      <c r="L8" t="s">
        <v>14</v>
      </c>
      <c r="M8">
        <v>1</v>
      </c>
      <c r="N8">
        <f>Table22[[#This Row],[burbot caught]]/Table22[[#This Row],[Total hours]]</f>
        <v>3.0303030303030304E-2</v>
      </c>
      <c r="O8">
        <v>1</v>
      </c>
      <c r="P8">
        <v>0</v>
      </c>
      <c r="Q8">
        <v>0</v>
      </c>
      <c r="R8" t="s">
        <v>14</v>
      </c>
      <c r="S8" t="s">
        <v>19</v>
      </c>
      <c r="T8" t="s">
        <v>226</v>
      </c>
      <c r="U8" t="s">
        <v>46</v>
      </c>
      <c r="V8" t="s">
        <v>46</v>
      </c>
      <c r="W8" t="s">
        <v>305</v>
      </c>
      <c r="X8" t="s">
        <v>403</v>
      </c>
      <c r="Y8" s="14" t="s">
        <v>108</v>
      </c>
      <c r="Z8" s="13">
        <v>0.91666666666666663</v>
      </c>
      <c r="AA8" s="14" t="s">
        <v>46</v>
      </c>
      <c r="AB8" s="14" t="s">
        <v>86</v>
      </c>
      <c r="AC8" s="14" t="s">
        <v>73</v>
      </c>
      <c r="AD8" s="14" t="s">
        <v>82</v>
      </c>
      <c r="AE8" s="14" t="s">
        <v>46</v>
      </c>
      <c r="AF8" s="14" t="s">
        <v>46</v>
      </c>
      <c r="AG8" t="s">
        <v>238</v>
      </c>
      <c r="AH8" t="s">
        <v>113</v>
      </c>
      <c r="AI8" t="s">
        <v>383</v>
      </c>
      <c r="AJ8" t="s">
        <v>328</v>
      </c>
      <c r="AK8" t="s">
        <v>382</v>
      </c>
      <c r="AL8" t="s">
        <v>108</v>
      </c>
      <c r="AM8" t="s">
        <v>238</v>
      </c>
      <c r="AN8" t="s">
        <v>239</v>
      </c>
      <c r="AO8" t="s">
        <v>238</v>
      </c>
      <c r="AP8" t="s">
        <v>238</v>
      </c>
      <c r="AQ8" t="s">
        <v>266</v>
      </c>
    </row>
    <row r="9" spans="1:43" ht="17" x14ac:dyDescent="0.2">
      <c r="A9">
        <v>2</v>
      </c>
      <c r="B9" s="1">
        <v>45101</v>
      </c>
      <c r="C9" s="2">
        <v>0.63194444444444442</v>
      </c>
      <c r="D9" s="2" t="s">
        <v>415</v>
      </c>
      <c r="E9" t="s">
        <v>22</v>
      </c>
      <c r="F9">
        <v>10</v>
      </c>
      <c r="G9" t="s">
        <v>14</v>
      </c>
      <c r="H9" s="2">
        <v>0.5</v>
      </c>
      <c r="I9" s="2">
        <v>0.83333333333333337</v>
      </c>
      <c r="J9" s="8">
        <v>1</v>
      </c>
      <c r="K9">
        <f>8*6</f>
        <v>48</v>
      </c>
      <c r="L9" t="s">
        <v>14</v>
      </c>
      <c r="M9">
        <v>2</v>
      </c>
      <c r="N9">
        <f>Table22[[#This Row],[burbot caught]]/Table22[[#This Row],[Total hours]]</f>
        <v>4.1666666666666664E-2</v>
      </c>
      <c r="O9">
        <v>2</v>
      </c>
      <c r="P9">
        <v>0</v>
      </c>
      <c r="Q9">
        <v>0</v>
      </c>
      <c r="R9" t="s">
        <v>14</v>
      </c>
      <c r="S9" t="s">
        <v>19</v>
      </c>
      <c r="T9" t="s">
        <v>220</v>
      </c>
      <c r="U9" t="s">
        <v>23</v>
      </c>
      <c r="V9" t="s">
        <v>46</v>
      </c>
      <c r="W9" t="s">
        <v>286</v>
      </c>
      <c r="X9" t="s">
        <v>401</v>
      </c>
      <c r="Y9" s="14" t="s">
        <v>108</v>
      </c>
      <c r="Z9" s="14" t="s">
        <v>76</v>
      </c>
      <c r="AA9" s="14" t="s">
        <v>76</v>
      </c>
      <c r="AB9" s="14" t="s">
        <v>72</v>
      </c>
      <c r="AC9" s="14" t="s">
        <v>73</v>
      </c>
      <c r="AD9" s="14" t="s">
        <v>73</v>
      </c>
      <c r="AE9" s="14" t="s">
        <v>330</v>
      </c>
      <c r="AF9" s="14" t="s">
        <v>391</v>
      </c>
      <c r="AG9" t="s">
        <v>245</v>
      </c>
      <c r="AH9" t="s">
        <v>328</v>
      </c>
      <c r="AI9" s="35" t="s">
        <v>382</v>
      </c>
      <c r="AJ9" t="s">
        <v>328</v>
      </c>
      <c r="AK9" t="s">
        <v>382</v>
      </c>
      <c r="AL9" t="s">
        <v>238</v>
      </c>
      <c r="AM9" t="s">
        <v>237</v>
      </c>
      <c r="AN9" t="s">
        <v>237</v>
      </c>
      <c r="AO9" t="s">
        <v>108</v>
      </c>
      <c r="AP9" t="s">
        <v>245</v>
      </c>
      <c r="AQ9" t="s">
        <v>259</v>
      </c>
    </row>
    <row r="10" spans="1:43" ht="17" x14ac:dyDescent="0.2">
      <c r="A10">
        <v>23</v>
      </c>
      <c r="B10" s="1">
        <v>45130</v>
      </c>
      <c r="C10" s="2">
        <v>0.4375</v>
      </c>
      <c r="D10" s="2" t="s">
        <v>415</v>
      </c>
      <c r="E10" t="s">
        <v>114</v>
      </c>
      <c r="F10" t="s">
        <v>59</v>
      </c>
      <c r="G10" t="s">
        <v>14</v>
      </c>
      <c r="H10" s="2" t="s">
        <v>115</v>
      </c>
      <c r="I10" s="2" t="s">
        <v>125</v>
      </c>
      <c r="J10" s="8">
        <v>1</v>
      </c>
      <c r="K10">
        <v>12.5</v>
      </c>
      <c r="L10" t="s">
        <v>14</v>
      </c>
      <c r="M10">
        <v>1</v>
      </c>
      <c r="N10">
        <f>Table22[[#This Row],[burbot caught]]/Table22[[#This Row],[Total hours]]</f>
        <v>0.08</v>
      </c>
      <c r="O10">
        <v>1</v>
      </c>
      <c r="P10">
        <v>0</v>
      </c>
      <c r="Q10">
        <v>0</v>
      </c>
      <c r="R10" t="s">
        <v>30</v>
      </c>
      <c r="S10" t="s">
        <v>19</v>
      </c>
      <c r="T10" t="s">
        <v>226</v>
      </c>
      <c r="U10" t="s">
        <v>127</v>
      </c>
      <c r="V10" t="s">
        <v>46</v>
      </c>
      <c r="W10" t="s">
        <v>302</v>
      </c>
      <c r="X10" t="s">
        <v>403</v>
      </c>
      <c r="Y10" s="14" t="s">
        <v>108</v>
      </c>
      <c r="Z10" s="14" t="s">
        <v>115</v>
      </c>
      <c r="AA10" s="13">
        <v>0.375</v>
      </c>
      <c r="AB10" s="14" t="s">
        <v>72</v>
      </c>
      <c r="AC10" s="14" t="s">
        <v>90</v>
      </c>
      <c r="AD10" s="14" t="s">
        <v>132</v>
      </c>
      <c r="AE10" s="14" t="s">
        <v>116</v>
      </c>
      <c r="AF10" s="14" t="s">
        <v>395</v>
      </c>
      <c r="AG10" t="s">
        <v>108</v>
      </c>
      <c r="AH10" t="s">
        <v>46</v>
      </c>
      <c r="AI10" t="s">
        <v>46</v>
      </c>
      <c r="AJ10" t="s">
        <v>342</v>
      </c>
      <c r="AK10" t="s">
        <v>382</v>
      </c>
      <c r="AL10" t="s">
        <v>108</v>
      </c>
      <c r="AM10" t="s">
        <v>238</v>
      </c>
      <c r="AN10" t="s">
        <v>108</v>
      </c>
      <c r="AO10" t="s">
        <v>238</v>
      </c>
      <c r="AP10" t="s">
        <v>238</v>
      </c>
      <c r="AQ10" t="s">
        <v>239</v>
      </c>
    </row>
    <row r="11" spans="1:43" ht="34" x14ac:dyDescent="0.2">
      <c r="A11">
        <v>24</v>
      </c>
      <c r="B11" s="1">
        <v>45130</v>
      </c>
      <c r="C11" s="2">
        <v>0.5625</v>
      </c>
      <c r="D11" s="2" t="s">
        <v>415</v>
      </c>
      <c r="E11" t="s">
        <v>117</v>
      </c>
      <c r="F11">
        <v>2</v>
      </c>
      <c r="G11" t="s">
        <v>14</v>
      </c>
      <c r="H11" s="2">
        <v>0.72916666666666663</v>
      </c>
      <c r="I11" s="2">
        <v>0.44791666666666669</v>
      </c>
      <c r="J11" s="8">
        <v>1</v>
      </c>
      <c r="K11">
        <f>17.25*2</f>
        <v>34.5</v>
      </c>
      <c r="L11" t="s">
        <v>14</v>
      </c>
      <c r="M11">
        <v>0</v>
      </c>
      <c r="N11">
        <f>Table22[[#This Row],[burbot caught]]/Table22[[#This Row],[Total hours]]</f>
        <v>0</v>
      </c>
      <c r="O11">
        <v>0</v>
      </c>
      <c r="P11">
        <v>0</v>
      </c>
      <c r="Q11">
        <v>0</v>
      </c>
      <c r="R11" t="s">
        <v>30</v>
      </c>
      <c r="S11" t="s">
        <v>19</v>
      </c>
      <c r="T11" t="s">
        <v>227</v>
      </c>
      <c r="U11" t="s">
        <v>39</v>
      </c>
      <c r="V11" t="s">
        <v>228</v>
      </c>
      <c r="W11" t="s">
        <v>303</v>
      </c>
      <c r="X11" t="s">
        <v>46</v>
      </c>
      <c r="Y11" s="14" t="s">
        <v>108</v>
      </c>
      <c r="Z11" s="14" t="s">
        <v>118</v>
      </c>
      <c r="AA11" s="14" t="s">
        <v>119</v>
      </c>
      <c r="AB11" s="14" t="s">
        <v>72</v>
      </c>
      <c r="AC11" s="14" t="s">
        <v>90</v>
      </c>
      <c r="AD11" s="14" t="s">
        <v>73</v>
      </c>
      <c r="AE11" s="14" t="s">
        <v>343</v>
      </c>
      <c r="AF11" s="14" t="s">
        <v>394</v>
      </c>
      <c r="AG11" t="s">
        <v>108</v>
      </c>
      <c r="AH11" t="s">
        <v>328</v>
      </c>
      <c r="AI11" t="s">
        <v>382</v>
      </c>
      <c r="AJ11" t="s">
        <v>342</v>
      </c>
      <c r="AK11" t="s">
        <v>382</v>
      </c>
      <c r="AL11" t="s">
        <v>238</v>
      </c>
      <c r="AM11" t="s">
        <v>238</v>
      </c>
      <c r="AN11" t="s">
        <v>239</v>
      </c>
      <c r="AO11" t="s">
        <v>238</v>
      </c>
      <c r="AP11" t="s">
        <v>245</v>
      </c>
      <c r="AQ11" t="s">
        <v>259</v>
      </c>
    </row>
    <row r="12" spans="1:43" ht="68" x14ac:dyDescent="0.2">
      <c r="A12">
        <v>25</v>
      </c>
      <c r="B12" s="1">
        <v>45130</v>
      </c>
      <c r="C12" s="2">
        <v>0.66666666666666663</v>
      </c>
      <c r="D12" s="2" t="s">
        <v>415</v>
      </c>
      <c r="E12" t="s">
        <v>120</v>
      </c>
      <c r="F12" t="s">
        <v>128</v>
      </c>
      <c r="G12" t="s">
        <v>14</v>
      </c>
      <c r="H12" s="2">
        <v>0.625</v>
      </c>
      <c r="I12" s="2">
        <v>0.41666666666666669</v>
      </c>
      <c r="J12" s="8">
        <v>1</v>
      </c>
      <c r="K12">
        <f>19*2</f>
        <v>38</v>
      </c>
      <c r="L12" t="s">
        <v>14</v>
      </c>
      <c r="M12">
        <v>2</v>
      </c>
      <c r="N12">
        <f>Table22[[#This Row],[burbot caught]]/Table22[[#This Row],[Total hours]]</f>
        <v>5.2631578947368418E-2</v>
      </c>
      <c r="O12">
        <v>2</v>
      </c>
      <c r="P12">
        <v>0</v>
      </c>
      <c r="Q12">
        <v>0</v>
      </c>
      <c r="R12" t="s">
        <v>14</v>
      </c>
      <c r="S12" t="s">
        <v>19</v>
      </c>
      <c r="T12" t="s">
        <v>229</v>
      </c>
      <c r="U12" t="s">
        <v>129</v>
      </c>
      <c r="V12" t="s">
        <v>46</v>
      </c>
      <c r="W12" t="s">
        <v>304</v>
      </c>
      <c r="X12" t="s">
        <v>402</v>
      </c>
      <c r="Y12" s="14" t="s">
        <v>108</v>
      </c>
      <c r="Z12" s="13">
        <v>0.625</v>
      </c>
      <c r="AA12" s="14" t="s">
        <v>52</v>
      </c>
      <c r="AB12" s="14" t="s">
        <v>72</v>
      </c>
      <c r="AC12" s="14" t="s">
        <v>90</v>
      </c>
      <c r="AD12" s="14" t="s">
        <v>73</v>
      </c>
      <c r="AE12" s="14" t="s">
        <v>121</v>
      </c>
      <c r="AF12" s="14" t="s">
        <v>398</v>
      </c>
      <c r="AG12" t="s">
        <v>108</v>
      </c>
      <c r="AH12" t="s">
        <v>328</v>
      </c>
      <c r="AI12" t="s">
        <v>382</v>
      </c>
      <c r="AJ12" t="s">
        <v>328</v>
      </c>
      <c r="AK12" t="s">
        <v>382</v>
      </c>
      <c r="AL12" t="s">
        <v>238</v>
      </c>
      <c r="AM12" t="s">
        <v>238</v>
      </c>
      <c r="AN12" t="s">
        <v>240</v>
      </c>
      <c r="AO12" t="s">
        <v>238</v>
      </c>
      <c r="AP12" t="s">
        <v>237</v>
      </c>
      <c r="AQ12" t="s">
        <v>266</v>
      </c>
    </row>
    <row r="13" spans="1:43" ht="17" x14ac:dyDescent="0.2">
      <c r="A13">
        <v>26</v>
      </c>
      <c r="B13" s="1">
        <v>45138</v>
      </c>
      <c r="C13" s="2">
        <v>0.625</v>
      </c>
      <c r="D13" s="2" t="s">
        <v>414</v>
      </c>
      <c r="E13" t="s">
        <v>123</v>
      </c>
      <c r="F13">
        <v>4</v>
      </c>
      <c r="G13" t="s">
        <v>14</v>
      </c>
      <c r="H13" s="2">
        <v>0.83333333333333337</v>
      </c>
      <c r="I13" s="2">
        <v>0.33333333333333331</v>
      </c>
      <c r="J13" s="8">
        <v>1</v>
      </c>
      <c r="K13">
        <v>48</v>
      </c>
      <c r="L13" t="s">
        <v>14</v>
      </c>
      <c r="M13">
        <v>2</v>
      </c>
      <c r="N13">
        <f>Table22[[#This Row],[burbot caught]]/Table22[[#This Row],[Total hours]]</f>
        <v>4.1666666666666664E-2</v>
      </c>
      <c r="O13">
        <v>2</v>
      </c>
      <c r="P13">
        <v>0</v>
      </c>
      <c r="Q13">
        <v>1</v>
      </c>
      <c r="R13" t="s">
        <v>30</v>
      </c>
      <c r="S13" t="s">
        <v>19</v>
      </c>
      <c r="T13" t="s">
        <v>230</v>
      </c>
      <c r="U13" t="s">
        <v>131</v>
      </c>
      <c r="V13" t="s">
        <v>46</v>
      </c>
      <c r="W13" t="s">
        <v>306</v>
      </c>
      <c r="X13" t="s">
        <v>405</v>
      </c>
      <c r="Y13" s="14" t="s">
        <v>108</v>
      </c>
      <c r="Z13" s="13">
        <v>0.83333333333333337</v>
      </c>
      <c r="AA13" s="13">
        <v>0.33333333333333331</v>
      </c>
      <c r="AB13" s="14" t="s">
        <v>86</v>
      </c>
      <c r="AC13" s="14" t="s">
        <v>132</v>
      </c>
      <c r="AD13" s="14" t="s">
        <v>82</v>
      </c>
      <c r="AE13" s="14" t="s">
        <v>328</v>
      </c>
      <c r="AF13" s="14" t="s">
        <v>382</v>
      </c>
      <c r="AG13" t="s">
        <v>238</v>
      </c>
      <c r="AH13" t="s">
        <v>134</v>
      </c>
      <c r="AI13" t="s">
        <v>382</v>
      </c>
      <c r="AJ13" t="s">
        <v>328</v>
      </c>
      <c r="AK13" t="s">
        <v>382</v>
      </c>
      <c r="AL13" t="s">
        <v>108</v>
      </c>
      <c r="AM13" t="s">
        <v>238</v>
      </c>
      <c r="AN13" t="s">
        <v>239</v>
      </c>
      <c r="AO13" t="s">
        <v>108</v>
      </c>
      <c r="AP13" t="s">
        <v>238</v>
      </c>
      <c r="AQ13" t="s">
        <v>240</v>
      </c>
    </row>
    <row r="14" spans="1:43" ht="34" x14ac:dyDescent="0.2">
      <c r="A14">
        <v>27</v>
      </c>
      <c r="B14" s="1">
        <v>45139</v>
      </c>
      <c r="C14" s="2">
        <v>0.45833333333333331</v>
      </c>
      <c r="D14" s="2" t="s">
        <v>414</v>
      </c>
      <c r="E14" t="s">
        <v>135</v>
      </c>
      <c r="F14">
        <v>2</v>
      </c>
      <c r="G14" t="s">
        <v>14</v>
      </c>
      <c r="H14" s="2">
        <v>0.45833333333333331</v>
      </c>
      <c r="I14" s="2">
        <v>0.33333333333333331</v>
      </c>
      <c r="J14" s="8">
        <v>1</v>
      </c>
      <c r="K14">
        <v>42</v>
      </c>
      <c r="L14" t="s">
        <v>14</v>
      </c>
      <c r="M14">
        <v>1</v>
      </c>
      <c r="N14">
        <f>Table22[[#This Row],[burbot caught]]/Table22[[#This Row],[Total hours]]</f>
        <v>2.3809523809523808E-2</v>
      </c>
      <c r="O14">
        <v>1</v>
      </c>
      <c r="P14">
        <v>0</v>
      </c>
      <c r="Q14">
        <v>0</v>
      </c>
      <c r="R14" t="s">
        <v>30</v>
      </c>
      <c r="S14" t="s">
        <v>19</v>
      </c>
      <c r="T14" t="s">
        <v>231</v>
      </c>
      <c r="U14" t="s">
        <v>136</v>
      </c>
      <c r="V14" t="s">
        <v>46</v>
      </c>
      <c r="W14" t="s">
        <v>137</v>
      </c>
      <c r="X14" t="s">
        <v>405</v>
      </c>
      <c r="Y14" s="14" t="s">
        <v>108</v>
      </c>
      <c r="Z14" s="14" t="s">
        <v>93</v>
      </c>
      <c r="AA14" s="13">
        <v>0.33333333333333331</v>
      </c>
      <c r="AB14" s="14" t="s">
        <v>72</v>
      </c>
      <c r="AC14" s="14" t="s">
        <v>90</v>
      </c>
      <c r="AD14" s="14" t="s">
        <v>82</v>
      </c>
      <c r="AE14" s="14" t="s">
        <v>344</v>
      </c>
      <c r="AF14" s="14" t="s">
        <v>396</v>
      </c>
      <c r="AG14" t="s">
        <v>239</v>
      </c>
      <c r="AH14" t="s">
        <v>345</v>
      </c>
      <c r="AI14" t="s">
        <v>385</v>
      </c>
      <c r="AJ14" t="s">
        <v>328</v>
      </c>
      <c r="AK14" t="s">
        <v>382</v>
      </c>
      <c r="AL14" t="s">
        <v>238</v>
      </c>
      <c r="AM14" t="s">
        <v>237</v>
      </c>
      <c r="AN14" t="s">
        <v>239</v>
      </c>
      <c r="AO14" t="s">
        <v>238</v>
      </c>
      <c r="AP14" t="s">
        <v>238</v>
      </c>
      <c r="AQ14" t="s">
        <v>259</v>
      </c>
    </row>
    <row r="15" spans="1:43" ht="17" x14ac:dyDescent="0.2">
      <c r="A15">
        <v>30</v>
      </c>
      <c r="B15" s="1">
        <v>45141</v>
      </c>
      <c r="C15" s="2">
        <v>0.64583333333333337</v>
      </c>
      <c r="D15" s="2" t="s">
        <v>414</v>
      </c>
      <c r="E15" t="s">
        <v>147</v>
      </c>
      <c r="F15">
        <v>2</v>
      </c>
      <c r="G15" t="s">
        <v>14</v>
      </c>
      <c r="H15" s="2">
        <v>0.41666666666666669</v>
      </c>
      <c r="I15" s="2">
        <v>0.61458333333333337</v>
      </c>
      <c r="J15" s="8">
        <v>2</v>
      </c>
      <c r="K15">
        <f>4.75*2*2</f>
        <v>19</v>
      </c>
      <c r="L15" t="s">
        <v>14</v>
      </c>
      <c r="M15">
        <v>1</v>
      </c>
      <c r="N15">
        <f>Table22[[#This Row],[burbot caught]]/Table22[[#This Row],[Total hours]]</f>
        <v>5.2631578947368418E-2</v>
      </c>
      <c r="O15">
        <v>1</v>
      </c>
      <c r="P15">
        <v>0</v>
      </c>
      <c r="Q15">
        <v>1</v>
      </c>
      <c r="R15" t="s">
        <v>14</v>
      </c>
      <c r="S15" t="s">
        <v>19</v>
      </c>
      <c r="T15" t="s">
        <v>224</v>
      </c>
      <c r="U15" t="s">
        <v>47</v>
      </c>
      <c r="V15" t="s">
        <v>46</v>
      </c>
      <c r="W15" t="s">
        <v>148</v>
      </c>
      <c r="X15" t="s">
        <v>401</v>
      </c>
      <c r="Y15" s="14" t="s">
        <v>108</v>
      </c>
      <c r="Z15" s="13">
        <v>0.75</v>
      </c>
      <c r="AA15" s="13">
        <v>0.41666666666666669</v>
      </c>
      <c r="AB15" s="14" t="s">
        <v>72</v>
      </c>
      <c r="AC15" s="14" t="s">
        <v>99</v>
      </c>
      <c r="AD15" s="14" t="s">
        <v>82</v>
      </c>
      <c r="AE15" s="14" t="s">
        <v>328</v>
      </c>
      <c r="AF15" s="14" t="s">
        <v>382</v>
      </c>
      <c r="AG15" t="s">
        <v>238</v>
      </c>
      <c r="AH15" t="s">
        <v>348</v>
      </c>
      <c r="AI15" t="s">
        <v>382</v>
      </c>
      <c r="AJ15" t="s">
        <v>349</v>
      </c>
      <c r="AK15" t="s">
        <v>388</v>
      </c>
      <c r="AL15" t="s">
        <v>237</v>
      </c>
      <c r="AM15" t="s">
        <v>238</v>
      </c>
      <c r="AN15" t="s">
        <v>239</v>
      </c>
      <c r="AO15" t="s">
        <v>238</v>
      </c>
      <c r="AP15" t="s">
        <v>237</v>
      </c>
      <c r="AQ15" t="s">
        <v>245</v>
      </c>
    </row>
    <row r="16" spans="1:43" ht="17" x14ac:dyDescent="0.2">
      <c r="A16">
        <v>33</v>
      </c>
      <c r="B16" s="1">
        <v>45154</v>
      </c>
      <c r="C16" s="2">
        <v>0.375</v>
      </c>
      <c r="D16" s="2" t="s">
        <v>414</v>
      </c>
      <c r="E16" t="s">
        <v>156</v>
      </c>
      <c r="F16">
        <v>4</v>
      </c>
      <c r="G16" t="s">
        <v>14</v>
      </c>
      <c r="H16" s="2">
        <v>0.6875</v>
      </c>
      <c r="I16" s="2">
        <v>0.41666666666666669</v>
      </c>
      <c r="J16" s="8">
        <v>3</v>
      </c>
      <c r="K16">
        <f xml:space="preserve"> 17.5*3</f>
        <v>52.5</v>
      </c>
      <c r="L16" t="s">
        <v>14</v>
      </c>
      <c r="M16">
        <v>1</v>
      </c>
      <c r="N16">
        <f>Table22[[#This Row],[burbot caught]]/Table22[[#This Row],[Total hours]]</f>
        <v>1.9047619047619049E-2</v>
      </c>
      <c r="O16">
        <v>1</v>
      </c>
      <c r="P16">
        <v>0</v>
      </c>
      <c r="Q16">
        <v>0</v>
      </c>
      <c r="R16" t="s">
        <v>14</v>
      </c>
      <c r="S16" t="s">
        <v>19</v>
      </c>
      <c r="T16" t="s">
        <v>224</v>
      </c>
      <c r="U16" t="s">
        <v>47</v>
      </c>
      <c r="V16" t="s">
        <v>46</v>
      </c>
      <c r="W16" t="s">
        <v>312</v>
      </c>
      <c r="X16" t="s">
        <v>401</v>
      </c>
      <c r="Y16" s="14" t="s">
        <v>108</v>
      </c>
      <c r="Z16" s="13">
        <v>0.70833333333333337</v>
      </c>
      <c r="AA16" s="14" t="s">
        <v>163</v>
      </c>
      <c r="AB16" s="14" t="s">
        <v>86</v>
      </c>
      <c r="AC16" s="14" t="s">
        <v>90</v>
      </c>
      <c r="AD16" s="14" t="s">
        <v>82</v>
      </c>
      <c r="AE16" s="14" t="s">
        <v>46</v>
      </c>
      <c r="AF16" s="14" t="s">
        <v>46</v>
      </c>
      <c r="AG16" t="s">
        <v>238</v>
      </c>
      <c r="AH16" t="s">
        <v>332</v>
      </c>
      <c r="AI16" t="s">
        <v>382</v>
      </c>
      <c r="AJ16" t="s">
        <v>354</v>
      </c>
      <c r="AK16" t="s">
        <v>46</v>
      </c>
      <c r="AL16" t="s">
        <v>238</v>
      </c>
      <c r="AM16" t="s">
        <v>238</v>
      </c>
      <c r="AN16" t="s">
        <v>239</v>
      </c>
      <c r="AO16" t="s">
        <v>238</v>
      </c>
      <c r="AP16" t="s">
        <v>259</v>
      </c>
      <c r="AQ16" t="s">
        <v>240</v>
      </c>
    </row>
    <row r="17" spans="1:43" ht="51" x14ac:dyDescent="0.2">
      <c r="A17">
        <v>34</v>
      </c>
      <c r="B17" s="1">
        <v>45156</v>
      </c>
      <c r="C17" s="2">
        <v>0.40277777777777773</v>
      </c>
      <c r="D17" s="2" t="s">
        <v>414</v>
      </c>
      <c r="E17" t="s">
        <v>164</v>
      </c>
      <c r="F17">
        <v>2</v>
      </c>
      <c r="G17" t="s">
        <v>14</v>
      </c>
      <c r="H17" s="2">
        <v>0.875</v>
      </c>
      <c r="I17" s="2">
        <v>0.90277777777777779</v>
      </c>
      <c r="J17" s="8" t="s">
        <v>362</v>
      </c>
      <c r="K17">
        <v>0.7</v>
      </c>
      <c r="L17" t="s">
        <v>14</v>
      </c>
      <c r="M17">
        <v>1</v>
      </c>
      <c r="N17">
        <f>Table22[[#This Row],[burbot caught]]/Table22[[#This Row],[Total hours]]</f>
        <v>1.4285714285714286</v>
      </c>
      <c r="O17">
        <v>1</v>
      </c>
      <c r="P17">
        <v>0</v>
      </c>
      <c r="Q17">
        <v>0</v>
      </c>
      <c r="R17" t="s">
        <v>30</v>
      </c>
      <c r="S17" t="s">
        <v>124</v>
      </c>
      <c r="T17" t="s">
        <v>233</v>
      </c>
      <c r="U17" t="s">
        <v>153</v>
      </c>
      <c r="V17" t="s">
        <v>46</v>
      </c>
      <c r="W17" t="s">
        <v>313</v>
      </c>
      <c r="X17" t="s">
        <v>404</v>
      </c>
      <c r="Y17" s="14" t="s">
        <v>108</v>
      </c>
      <c r="Z17" s="14" t="s">
        <v>46</v>
      </c>
      <c r="AA17" s="14" t="s">
        <v>46</v>
      </c>
      <c r="AB17" s="14" t="s">
        <v>86</v>
      </c>
      <c r="AC17" s="14" t="s">
        <v>73</v>
      </c>
      <c r="AD17" s="14" t="s">
        <v>82</v>
      </c>
      <c r="AE17" s="14" t="s">
        <v>165</v>
      </c>
      <c r="AF17" s="14" t="s">
        <v>382</v>
      </c>
      <c r="AG17" t="s">
        <v>108</v>
      </c>
      <c r="AH17" t="s">
        <v>355</v>
      </c>
      <c r="AI17" t="s">
        <v>386</v>
      </c>
      <c r="AJ17" t="s">
        <v>328</v>
      </c>
      <c r="AK17" t="s">
        <v>382</v>
      </c>
      <c r="AL17" t="s">
        <v>108</v>
      </c>
      <c r="AM17" t="s">
        <v>238</v>
      </c>
      <c r="AN17" t="s">
        <v>239</v>
      </c>
      <c r="AO17" t="s">
        <v>238</v>
      </c>
      <c r="AP17" t="s">
        <v>237</v>
      </c>
      <c r="AQ17" t="s">
        <v>245</v>
      </c>
    </row>
    <row r="18" spans="1:43" ht="17" x14ac:dyDescent="0.2">
      <c r="A18">
        <v>35</v>
      </c>
      <c r="B18" s="1">
        <v>45158</v>
      </c>
      <c r="C18" s="2">
        <v>0.52430555555555558</v>
      </c>
      <c r="D18" s="2" t="s">
        <v>415</v>
      </c>
      <c r="E18" t="s">
        <v>161</v>
      </c>
      <c r="F18" t="s">
        <v>128</v>
      </c>
      <c r="G18" t="s">
        <v>14</v>
      </c>
      <c r="H18" s="2">
        <v>0.3125</v>
      </c>
      <c r="I18" s="2" t="s">
        <v>157</v>
      </c>
      <c r="J18" s="8">
        <v>2</v>
      </c>
      <c r="K18">
        <f>23.25*4</f>
        <v>93</v>
      </c>
      <c r="L18" t="s">
        <v>14</v>
      </c>
      <c r="M18">
        <v>1</v>
      </c>
      <c r="N18">
        <f>Table22[[#This Row],[burbot caught]]/Table22[[#This Row],[Total hours]]</f>
        <v>1.0752688172043012E-2</v>
      </c>
      <c r="O18">
        <v>1</v>
      </c>
      <c r="P18">
        <v>0</v>
      </c>
      <c r="Q18">
        <v>0</v>
      </c>
      <c r="R18" t="s">
        <v>30</v>
      </c>
      <c r="S18" t="s">
        <v>19</v>
      </c>
      <c r="T18" t="s">
        <v>234</v>
      </c>
      <c r="U18" t="s">
        <v>158</v>
      </c>
      <c r="V18" t="s">
        <v>46</v>
      </c>
      <c r="W18" t="s">
        <v>311</v>
      </c>
      <c r="X18" t="s">
        <v>402</v>
      </c>
      <c r="Y18" s="14" t="s">
        <v>108</v>
      </c>
      <c r="Z18" s="14" t="s">
        <v>85</v>
      </c>
      <c r="AA18" s="14" t="s">
        <v>52</v>
      </c>
      <c r="AB18" s="14" t="s">
        <v>86</v>
      </c>
      <c r="AC18" s="14" t="s">
        <v>132</v>
      </c>
      <c r="AD18" s="14" t="s">
        <v>82</v>
      </c>
      <c r="AE18" s="14" t="s">
        <v>159</v>
      </c>
      <c r="AF18" s="14" t="s">
        <v>382</v>
      </c>
      <c r="AG18" t="s">
        <v>245</v>
      </c>
      <c r="AH18" t="s">
        <v>328</v>
      </c>
      <c r="AI18" t="s">
        <v>382</v>
      </c>
      <c r="AJ18" t="s">
        <v>356</v>
      </c>
      <c r="AK18" t="s">
        <v>389</v>
      </c>
      <c r="AL18" t="s">
        <v>238</v>
      </c>
      <c r="AM18" t="s">
        <v>238</v>
      </c>
      <c r="AN18" t="s">
        <v>239</v>
      </c>
      <c r="AO18" t="s">
        <v>238</v>
      </c>
      <c r="AP18" t="s">
        <v>245</v>
      </c>
      <c r="AQ18" t="s">
        <v>259</v>
      </c>
    </row>
    <row r="19" spans="1:43" ht="17" x14ac:dyDescent="0.2">
      <c r="A19">
        <v>36</v>
      </c>
      <c r="B19" s="1">
        <v>45171</v>
      </c>
      <c r="C19" s="2">
        <v>0.54166666666666663</v>
      </c>
      <c r="D19" s="2" t="s">
        <v>415</v>
      </c>
      <c r="E19" t="s">
        <v>167</v>
      </c>
      <c r="F19">
        <v>2</v>
      </c>
      <c r="G19" t="s">
        <v>14</v>
      </c>
      <c r="H19" s="2">
        <v>0.75</v>
      </c>
      <c r="I19" s="2">
        <v>0.39583333333333331</v>
      </c>
      <c r="J19" s="8">
        <v>1</v>
      </c>
      <c r="K19">
        <f>15.5*2</f>
        <v>31</v>
      </c>
      <c r="L19" t="s">
        <v>14</v>
      </c>
      <c r="M19">
        <v>0</v>
      </c>
      <c r="N19">
        <f>Table22[[#This Row],[burbot caught]]/Table22[[#This Row],[Total hours]]</f>
        <v>0</v>
      </c>
      <c r="O19">
        <v>0</v>
      </c>
      <c r="P19">
        <v>0</v>
      </c>
      <c r="Q19">
        <v>0</v>
      </c>
      <c r="R19" t="s">
        <v>30</v>
      </c>
      <c r="S19" t="s">
        <v>19</v>
      </c>
      <c r="T19" t="s">
        <v>222</v>
      </c>
      <c r="U19" t="s">
        <v>41</v>
      </c>
      <c r="V19" t="s">
        <v>46</v>
      </c>
      <c r="W19" t="s">
        <v>168</v>
      </c>
      <c r="X19" t="s">
        <v>402</v>
      </c>
      <c r="Y19" s="14" t="s">
        <v>108</v>
      </c>
      <c r="Z19" s="13">
        <v>0.75</v>
      </c>
      <c r="AA19" s="14" t="s">
        <v>169</v>
      </c>
      <c r="AB19" s="14" t="s">
        <v>72</v>
      </c>
      <c r="AC19" s="14" t="s">
        <v>73</v>
      </c>
      <c r="AD19" s="14" t="s">
        <v>82</v>
      </c>
      <c r="AE19" s="14" t="s">
        <v>328</v>
      </c>
      <c r="AF19" s="14" t="s">
        <v>382</v>
      </c>
      <c r="AG19" t="s">
        <v>108</v>
      </c>
      <c r="AH19" t="s">
        <v>328</v>
      </c>
      <c r="AI19" t="s">
        <v>382</v>
      </c>
      <c r="AJ19" t="s">
        <v>46</v>
      </c>
      <c r="AK19" t="s">
        <v>46</v>
      </c>
      <c r="AL19" t="s">
        <v>238</v>
      </c>
      <c r="AM19" t="s">
        <v>238</v>
      </c>
      <c r="AN19" t="s">
        <v>239</v>
      </c>
      <c r="AO19" t="s">
        <v>238</v>
      </c>
      <c r="AP19" t="s">
        <v>245</v>
      </c>
      <c r="AQ19" t="s">
        <v>259</v>
      </c>
    </row>
    <row r="20" spans="1:43" ht="17" x14ac:dyDescent="0.2">
      <c r="A20">
        <v>38</v>
      </c>
      <c r="B20" s="1">
        <v>45172</v>
      </c>
      <c r="C20" s="2">
        <v>0.70833333333333337</v>
      </c>
      <c r="D20" s="2" t="s">
        <v>415</v>
      </c>
      <c r="E20" t="s">
        <v>174</v>
      </c>
      <c r="F20">
        <v>6</v>
      </c>
      <c r="G20" t="s">
        <v>14</v>
      </c>
      <c r="H20" s="2" t="s">
        <v>175</v>
      </c>
      <c r="I20" s="2" t="s">
        <v>176</v>
      </c>
      <c r="J20" s="8">
        <v>5</v>
      </c>
      <c r="K20">
        <f>36.5*6</f>
        <v>219</v>
      </c>
      <c r="L20" t="s">
        <v>14</v>
      </c>
      <c r="M20">
        <v>11</v>
      </c>
      <c r="N20">
        <f>Table22[[#This Row],[burbot caught]]/Table22[[#This Row],[Total hours]]</f>
        <v>5.0228310502283102E-2</v>
      </c>
      <c r="O20">
        <v>11</v>
      </c>
      <c r="P20">
        <v>0</v>
      </c>
      <c r="Q20">
        <v>0</v>
      </c>
      <c r="R20" t="s">
        <v>30</v>
      </c>
      <c r="S20" t="s">
        <v>19</v>
      </c>
      <c r="T20" t="s">
        <v>235</v>
      </c>
      <c r="U20" t="s">
        <v>41</v>
      </c>
      <c r="V20" t="s">
        <v>53</v>
      </c>
      <c r="W20" t="s">
        <v>314</v>
      </c>
      <c r="X20" t="s">
        <v>408</v>
      </c>
      <c r="Y20" s="14" t="s">
        <v>108</v>
      </c>
      <c r="Z20" s="13">
        <v>0.8125</v>
      </c>
      <c r="AA20" s="13">
        <v>0.33333333333333331</v>
      </c>
      <c r="AB20" s="14" t="s">
        <v>86</v>
      </c>
      <c r="AC20" s="14" t="s">
        <v>73</v>
      </c>
      <c r="AD20" s="14" t="s">
        <v>82</v>
      </c>
      <c r="AE20" s="14" t="s">
        <v>359</v>
      </c>
      <c r="AF20" s="14" t="s">
        <v>396</v>
      </c>
      <c r="AG20" t="s">
        <v>238</v>
      </c>
      <c r="AH20" t="s">
        <v>328</v>
      </c>
      <c r="AI20" t="s">
        <v>382</v>
      </c>
      <c r="AJ20" t="s">
        <v>360</v>
      </c>
      <c r="AK20" t="s">
        <v>388</v>
      </c>
      <c r="AL20" t="s">
        <v>238</v>
      </c>
      <c r="AM20" t="s">
        <v>237</v>
      </c>
      <c r="AN20" t="s">
        <v>239</v>
      </c>
      <c r="AO20" t="s">
        <v>108</v>
      </c>
      <c r="AP20" t="s">
        <v>245</v>
      </c>
      <c r="AQ20" t="s">
        <v>266</v>
      </c>
    </row>
    <row r="21" spans="1:43" ht="17" x14ac:dyDescent="0.2">
      <c r="A21">
        <v>5</v>
      </c>
      <c r="B21" s="1">
        <v>45102</v>
      </c>
      <c r="C21" s="2">
        <v>0.44375000000000003</v>
      </c>
      <c r="D21" s="2" t="s">
        <v>415</v>
      </c>
      <c r="E21" t="s">
        <v>27</v>
      </c>
      <c r="F21">
        <v>2</v>
      </c>
      <c r="G21" t="s">
        <v>14</v>
      </c>
      <c r="H21" s="2" t="s">
        <v>28</v>
      </c>
      <c r="I21" s="2" t="s">
        <v>29</v>
      </c>
      <c r="J21" s="8">
        <v>4</v>
      </c>
      <c r="K21">
        <f>48*2</f>
        <v>96</v>
      </c>
      <c r="L21" t="s">
        <v>14</v>
      </c>
      <c r="M21">
        <v>1</v>
      </c>
      <c r="N21">
        <f>Table22[[#This Row],[burbot caught]]/Table22[[#This Row],[Total hours]]</f>
        <v>1.0416666666666666E-2</v>
      </c>
      <c r="O21">
        <v>1</v>
      </c>
      <c r="P21">
        <v>0</v>
      </c>
      <c r="Q21">
        <v>0</v>
      </c>
      <c r="R21" t="s">
        <v>30</v>
      </c>
      <c r="S21" t="s">
        <v>19</v>
      </c>
      <c r="T21" t="s">
        <v>214</v>
      </c>
      <c r="U21" t="s">
        <v>129</v>
      </c>
      <c r="V21" t="s">
        <v>209</v>
      </c>
      <c r="W21" t="s">
        <v>287</v>
      </c>
      <c r="X21" t="s">
        <v>401</v>
      </c>
      <c r="Y21" s="14" t="s">
        <v>108</v>
      </c>
      <c r="Z21" s="14" t="s">
        <v>85</v>
      </c>
      <c r="AA21" s="14" t="s">
        <v>52</v>
      </c>
      <c r="AB21" s="14" t="s">
        <v>86</v>
      </c>
      <c r="AC21" s="14" t="s">
        <v>87</v>
      </c>
      <c r="AD21" s="14" t="s">
        <v>87</v>
      </c>
      <c r="AE21" s="14" t="s">
        <v>46</v>
      </c>
      <c r="AF21" s="14" t="s">
        <v>46</v>
      </c>
      <c r="AG21" t="s">
        <v>46</v>
      </c>
      <c r="AH21" t="s">
        <v>46</v>
      </c>
      <c r="AI21" t="s">
        <v>46</v>
      </c>
      <c r="AJ21" t="s">
        <v>46</v>
      </c>
      <c r="AK21" t="s">
        <v>46</v>
      </c>
      <c r="AL21" t="s">
        <v>237</v>
      </c>
      <c r="AM21" t="s">
        <v>237</v>
      </c>
      <c r="AN21" t="s">
        <v>239</v>
      </c>
      <c r="AO21" t="s">
        <v>108</v>
      </c>
      <c r="AP21" t="s">
        <v>237</v>
      </c>
      <c r="AQ21" t="s">
        <v>239</v>
      </c>
    </row>
    <row r="22" spans="1:43" ht="17" x14ac:dyDescent="0.2">
      <c r="A22">
        <v>7</v>
      </c>
      <c r="B22" s="1">
        <v>45102</v>
      </c>
      <c r="C22" s="2">
        <v>0.59375</v>
      </c>
      <c r="D22" s="2" t="s">
        <v>415</v>
      </c>
      <c r="E22" t="s">
        <v>37</v>
      </c>
      <c r="F22">
        <v>2</v>
      </c>
      <c r="G22" t="s">
        <v>14</v>
      </c>
      <c r="H22" s="2">
        <v>0.66666666666666663</v>
      </c>
      <c r="I22" s="2">
        <v>0.875</v>
      </c>
      <c r="J22" s="8">
        <v>3</v>
      </c>
      <c r="K22">
        <v>46</v>
      </c>
      <c r="L22" t="s">
        <v>14</v>
      </c>
      <c r="M22">
        <v>7</v>
      </c>
      <c r="N22">
        <f>Table22[[#This Row],[burbot caught]]/Table22[[#This Row],[Total hours]]</f>
        <v>0.15217391304347827</v>
      </c>
      <c r="O22">
        <v>6</v>
      </c>
      <c r="P22">
        <v>1</v>
      </c>
      <c r="Q22">
        <v>1</v>
      </c>
      <c r="R22" t="s">
        <v>30</v>
      </c>
      <c r="S22" t="s">
        <v>19</v>
      </c>
      <c r="T22" t="s">
        <v>216</v>
      </c>
      <c r="U22" t="s">
        <v>210</v>
      </c>
      <c r="V22" t="s">
        <v>211</v>
      </c>
      <c r="W22" t="s">
        <v>286</v>
      </c>
      <c r="X22" t="s">
        <v>401</v>
      </c>
      <c r="Y22" s="14" t="s">
        <v>108</v>
      </c>
      <c r="Z22" s="13">
        <v>0.66666666666666663</v>
      </c>
      <c r="AA22" s="13">
        <v>0.875</v>
      </c>
      <c r="AB22" s="14" t="s">
        <v>86</v>
      </c>
      <c r="AC22" s="14" t="s">
        <v>90</v>
      </c>
      <c r="AD22" s="14" t="s">
        <v>73</v>
      </c>
      <c r="AE22" s="14" t="s">
        <v>46</v>
      </c>
      <c r="AF22" s="14" t="s">
        <v>46</v>
      </c>
      <c r="AG22" t="s">
        <v>238</v>
      </c>
      <c r="AH22" t="s">
        <v>333</v>
      </c>
      <c r="AI22" t="s">
        <v>382</v>
      </c>
      <c r="AJ22" t="s">
        <v>328</v>
      </c>
      <c r="AK22" t="s">
        <v>382</v>
      </c>
      <c r="AL22" t="s">
        <v>238</v>
      </c>
      <c r="AM22" t="s">
        <v>237</v>
      </c>
      <c r="AN22" t="s">
        <v>46</v>
      </c>
      <c r="AO22" t="s">
        <v>238</v>
      </c>
      <c r="AP22" t="s">
        <v>245</v>
      </c>
      <c r="AQ22" t="s">
        <v>240</v>
      </c>
    </row>
    <row r="23" spans="1:43" ht="34" x14ac:dyDescent="0.2">
      <c r="A23">
        <v>8</v>
      </c>
      <c r="B23" s="1">
        <v>45108</v>
      </c>
      <c r="C23" s="2">
        <v>0.38541666666666669</v>
      </c>
      <c r="D23" s="2" t="s">
        <v>415</v>
      </c>
      <c r="E23" t="s">
        <v>38</v>
      </c>
      <c r="F23">
        <v>2</v>
      </c>
      <c r="G23" t="s">
        <v>14</v>
      </c>
      <c r="H23" s="2">
        <v>0.85416666666666663</v>
      </c>
      <c r="I23" s="2">
        <v>0.35416666666666669</v>
      </c>
      <c r="J23" s="8">
        <v>1</v>
      </c>
      <c r="K23">
        <v>24</v>
      </c>
      <c r="L23" t="s">
        <v>14</v>
      </c>
      <c r="M23">
        <v>1</v>
      </c>
      <c r="N23">
        <f>Table22[[#This Row],[burbot caught]]/Table22[[#This Row],[Total hours]]</f>
        <v>4.1666666666666664E-2</v>
      </c>
      <c r="O23">
        <v>1</v>
      </c>
      <c r="P23">
        <v>0</v>
      </c>
      <c r="Q23">
        <v>1</v>
      </c>
      <c r="R23" t="s">
        <v>14</v>
      </c>
      <c r="S23" t="s">
        <v>19</v>
      </c>
      <c r="T23" t="s">
        <v>221</v>
      </c>
      <c r="U23" t="s">
        <v>39</v>
      </c>
      <c r="V23" t="s">
        <v>46</v>
      </c>
      <c r="W23" t="s">
        <v>289</v>
      </c>
      <c r="X23" t="s">
        <v>404</v>
      </c>
      <c r="Y23" s="14" t="s">
        <v>108</v>
      </c>
      <c r="Z23" s="13">
        <v>0.85416666666666663</v>
      </c>
      <c r="AA23" s="14" t="s">
        <v>91</v>
      </c>
      <c r="AB23" s="14" t="s">
        <v>86</v>
      </c>
      <c r="AC23" s="14" t="s">
        <v>73</v>
      </c>
      <c r="AD23" s="14" t="s">
        <v>82</v>
      </c>
      <c r="AE23" s="14" t="s">
        <v>334</v>
      </c>
      <c r="AF23" s="14" t="s">
        <v>392</v>
      </c>
      <c r="AG23" t="s">
        <v>245</v>
      </c>
      <c r="AH23" t="s">
        <v>335</v>
      </c>
      <c r="AI23" t="s">
        <v>382</v>
      </c>
      <c r="AJ23" t="s">
        <v>336</v>
      </c>
      <c r="AK23" t="s">
        <v>385</v>
      </c>
      <c r="AL23" t="s">
        <v>237</v>
      </c>
      <c r="AM23" t="s">
        <v>238</v>
      </c>
      <c r="AN23" t="s">
        <v>239</v>
      </c>
      <c r="AO23" t="s">
        <v>238</v>
      </c>
      <c r="AP23" t="s">
        <v>245</v>
      </c>
      <c r="AQ23" t="s">
        <v>239</v>
      </c>
    </row>
    <row r="24" spans="1:43" ht="17" x14ac:dyDescent="0.2">
      <c r="A24">
        <v>9</v>
      </c>
      <c r="B24" s="1">
        <v>45108</v>
      </c>
      <c r="C24" s="2">
        <v>0.4375</v>
      </c>
      <c r="D24" s="2" t="s">
        <v>415</v>
      </c>
      <c r="E24" t="s">
        <v>40</v>
      </c>
      <c r="F24">
        <v>3</v>
      </c>
      <c r="G24" t="s">
        <v>14</v>
      </c>
      <c r="H24" s="2">
        <v>0.875</v>
      </c>
      <c r="I24" s="2">
        <v>0.33333333333333331</v>
      </c>
      <c r="J24" s="8">
        <v>1</v>
      </c>
      <c r="K24">
        <v>33</v>
      </c>
      <c r="L24" t="s">
        <v>14</v>
      </c>
      <c r="M24">
        <v>2</v>
      </c>
      <c r="N24">
        <f>Table22[[#This Row],[burbot caught]]/Table22[[#This Row],[Total hours]]</f>
        <v>6.0606060606060608E-2</v>
      </c>
      <c r="O24">
        <v>2</v>
      </c>
      <c r="P24">
        <v>0</v>
      </c>
      <c r="Q24">
        <v>0</v>
      </c>
      <c r="R24" t="s">
        <v>14</v>
      </c>
      <c r="S24" t="s">
        <v>19</v>
      </c>
      <c r="T24" t="s">
        <v>222</v>
      </c>
      <c r="U24" t="s">
        <v>41</v>
      </c>
      <c r="V24" t="s">
        <v>46</v>
      </c>
      <c r="W24" t="s">
        <v>291</v>
      </c>
      <c r="X24" t="s">
        <v>402</v>
      </c>
      <c r="Y24" s="14" t="s">
        <v>108</v>
      </c>
      <c r="Z24" s="14" t="s">
        <v>93</v>
      </c>
      <c r="AA24" s="14" t="s">
        <v>46</v>
      </c>
      <c r="AB24" s="14" t="s">
        <v>72</v>
      </c>
      <c r="AC24" s="14" t="s">
        <v>82</v>
      </c>
      <c r="AD24" s="14" t="s">
        <v>82</v>
      </c>
      <c r="AE24" s="14" t="s">
        <v>46</v>
      </c>
      <c r="AF24" s="14" t="s">
        <v>46</v>
      </c>
      <c r="AG24" t="s">
        <v>108</v>
      </c>
      <c r="AH24" t="s">
        <v>94</v>
      </c>
      <c r="AI24" t="s">
        <v>382</v>
      </c>
      <c r="AJ24" t="s">
        <v>46</v>
      </c>
      <c r="AK24" t="s">
        <v>46</v>
      </c>
      <c r="AL24" t="s">
        <v>238</v>
      </c>
      <c r="AM24" t="s">
        <v>238</v>
      </c>
      <c r="AN24" t="s">
        <v>239</v>
      </c>
      <c r="AO24" t="s">
        <v>238</v>
      </c>
      <c r="AP24" t="s">
        <v>108</v>
      </c>
      <c r="AQ24" t="s">
        <v>239</v>
      </c>
    </row>
    <row r="25" spans="1:43" ht="17" x14ac:dyDescent="0.2">
      <c r="A25">
        <v>1</v>
      </c>
      <c r="B25" s="1">
        <v>45100</v>
      </c>
      <c r="C25" s="2">
        <v>0.48402777777777778</v>
      </c>
      <c r="D25" s="2" t="s">
        <v>414</v>
      </c>
      <c r="E25" t="s">
        <v>13</v>
      </c>
      <c r="F25">
        <v>2</v>
      </c>
      <c r="G25" t="s">
        <v>14</v>
      </c>
      <c r="H25" s="2">
        <v>0.25</v>
      </c>
      <c r="I25" s="2">
        <v>0.5</v>
      </c>
      <c r="J25" s="8">
        <v>2</v>
      </c>
      <c r="K25">
        <v>24</v>
      </c>
      <c r="L25" t="s">
        <v>14</v>
      </c>
      <c r="M25">
        <v>2</v>
      </c>
      <c r="N25">
        <f>Table22[[#This Row],[burbot caught]]/Table22[[#This Row],[Total hours]]</f>
        <v>8.3333333333333329E-2</v>
      </c>
      <c r="O25">
        <v>2</v>
      </c>
      <c r="P25">
        <v>0</v>
      </c>
      <c r="Q25">
        <v>0</v>
      </c>
      <c r="R25" t="s">
        <v>14</v>
      </c>
      <c r="S25" t="s">
        <v>19</v>
      </c>
      <c r="T25" t="s">
        <v>219</v>
      </c>
      <c r="U25" t="s">
        <v>20</v>
      </c>
      <c r="V25" t="s">
        <v>46</v>
      </c>
      <c r="W25" t="s">
        <v>285</v>
      </c>
      <c r="X25" t="s">
        <v>406</v>
      </c>
      <c r="Y25" s="12" t="s">
        <v>238</v>
      </c>
      <c r="Z25" s="13">
        <v>0.79166666666666663</v>
      </c>
      <c r="AA25" s="13">
        <v>0.29166666666666669</v>
      </c>
      <c r="AB25" s="14" t="s">
        <v>72</v>
      </c>
      <c r="AC25" s="14" t="s">
        <v>73</v>
      </c>
      <c r="AD25" s="14" t="s">
        <v>73</v>
      </c>
      <c r="AE25" s="14" t="s">
        <v>329</v>
      </c>
      <c r="AF25" s="14" t="s">
        <v>391</v>
      </c>
      <c r="AG25" t="s">
        <v>239</v>
      </c>
      <c r="AH25" t="s">
        <v>327</v>
      </c>
      <c r="AI25" t="s">
        <v>384</v>
      </c>
      <c r="AJ25" t="s">
        <v>328</v>
      </c>
      <c r="AK25" t="s">
        <v>382</v>
      </c>
      <c r="AL25" t="s">
        <v>237</v>
      </c>
      <c r="AM25" t="s">
        <v>238</v>
      </c>
      <c r="AN25" t="s">
        <v>239</v>
      </c>
      <c r="AO25" t="s">
        <v>238</v>
      </c>
      <c r="AP25" t="s">
        <v>237</v>
      </c>
      <c r="AQ25" t="s">
        <v>240</v>
      </c>
    </row>
    <row r="26" spans="1:43" ht="17" x14ac:dyDescent="0.2">
      <c r="A26">
        <v>11</v>
      </c>
      <c r="B26" s="1">
        <v>45109</v>
      </c>
      <c r="C26" s="2">
        <v>0.56944444444444442</v>
      </c>
      <c r="D26" s="2" t="s">
        <v>415</v>
      </c>
      <c r="E26" t="s">
        <v>45</v>
      </c>
      <c r="F26">
        <v>1</v>
      </c>
      <c r="G26" t="s">
        <v>30</v>
      </c>
      <c r="H26" s="2" t="s">
        <v>46</v>
      </c>
      <c r="I26" s="2" t="s">
        <v>46</v>
      </c>
      <c r="J26" s="8" t="s">
        <v>46</v>
      </c>
      <c r="K26" t="s">
        <v>46</v>
      </c>
      <c r="L26" t="s">
        <v>30</v>
      </c>
      <c r="M26">
        <v>0</v>
      </c>
      <c r="N26" t="e">
        <f>Table22[[#This Row],[burbot caught]]/Table22[[#This Row],[Total hours]]</f>
        <v>#VALUE!</v>
      </c>
      <c r="O26">
        <v>0</v>
      </c>
      <c r="P26">
        <v>0</v>
      </c>
      <c r="Q26">
        <v>0</v>
      </c>
      <c r="R26" t="s">
        <v>30</v>
      </c>
      <c r="S26" t="s">
        <v>19</v>
      </c>
      <c r="T26" s="34" t="s">
        <v>224</v>
      </c>
      <c r="U26" t="s">
        <v>47</v>
      </c>
      <c r="V26" t="s">
        <v>46</v>
      </c>
      <c r="W26" t="s">
        <v>293</v>
      </c>
      <c r="X26" t="s">
        <v>46</v>
      </c>
      <c r="Y26" s="14" t="s">
        <v>238</v>
      </c>
      <c r="Z26" s="14" t="s">
        <v>98</v>
      </c>
      <c r="AA26" s="14" t="s">
        <v>52</v>
      </c>
      <c r="AB26" s="14" t="s">
        <v>86</v>
      </c>
      <c r="AC26" s="14" t="s">
        <v>99</v>
      </c>
      <c r="AD26" s="14" t="s">
        <v>82</v>
      </c>
      <c r="AE26" s="14" t="s">
        <v>337</v>
      </c>
      <c r="AF26" s="14" t="s">
        <v>391</v>
      </c>
      <c r="AG26" t="s">
        <v>239</v>
      </c>
      <c r="AH26" t="s">
        <v>100</v>
      </c>
      <c r="AI26" t="s">
        <v>386</v>
      </c>
      <c r="AJ26" t="s">
        <v>101</v>
      </c>
      <c r="AK26" t="s">
        <v>382</v>
      </c>
      <c r="AL26" t="s">
        <v>245</v>
      </c>
      <c r="AM26" t="s">
        <v>238</v>
      </c>
      <c r="AN26" t="s">
        <v>239</v>
      </c>
      <c r="AO26" t="s">
        <v>238</v>
      </c>
      <c r="AP26" t="s">
        <v>239</v>
      </c>
      <c r="AQ26" t="s">
        <v>266</v>
      </c>
    </row>
    <row r="27" spans="1:43" ht="17" x14ac:dyDescent="0.2">
      <c r="A27">
        <v>14</v>
      </c>
      <c r="B27" s="1">
        <v>45110</v>
      </c>
      <c r="C27" s="2">
        <v>0.42708333333333331</v>
      </c>
      <c r="D27" s="2" t="s">
        <v>415</v>
      </c>
      <c r="E27" t="s">
        <v>55</v>
      </c>
      <c r="F27">
        <v>2</v>
      </c>
      <c r="G27" t="s">
        <v>14</v>
      </c>
      <c r="H27" s="2">
        <v>0.29166666666666669</v>
      </c>
      <c r="I27" s="2">
        <v>0.33333333333333331</v>
      </c>
      <c r="J27" s="8">
        <v>3</v>
      </c>
      <c r="K27">
        <f>49*2</f>
        <v>98</v>
      </c>
      <c r="L27" t="s">
        <v>14</v>
      </c>
      <c r="M27">
        <v>0</v>
      </c>
      <c r="N27">
        <f>Table22[[#This Row],[burbot caught]]/Table22[[#This Row],[Total hours]]</f>
        <v>0</v>
      </c>
      <c r="O27">
        <v>0</v>
      </c>
      <c r="P27">
        <v>0</v>
      </c>
      <c r="Q27">
        <v>0</v>
      </c>
      <c r="R27" t="s">
        <v>30</v>
      </c>
      <c r="S27" t="s">
        <v>19</v>
      </c>
      <c r="T27" t="s">
        <v>217</v>
      </c>
      <c r="U27" t="s">
        <v>218</v>
      </c>
      <c r="V27" t="s">
        <v>20</v>
      </c>
      <c r="W27" t="s">
        <v>296</v>
      </c>
      <c r="X27" t="s">
        <v>46</v>
      </c>
      <c r="Y27" s="14" t="s">
        <v>238</v>
      </c>
      <c r="Z27" s="13">
        <v>0.25</v>
      </c>
      <c r="AA27" s="13">
        <v>0.79166666666666663</v>
      </c>
      <c r="AB27" s="14" t="s">
        <v>86</v>
      </c>
      <c r="AC27" s="14" t="s">
        <v>73</v>
      </c>
      <c r="AD27" s="14" t="s">
        <v>82</v>
      </c>
      <c r="AE27" s="14" t="s">
        <v>341</v>
      </c>
      <c r="AF27" s="14" t="s">
        <v>391</v>
      </c>
      <c r="AG27" t="s">
        <v>108</v>
      </c>
      <c r="AH27" t="s">
        <v>340</v>
      </c>
      <c r="AI27" t="s">
        <v>386</v>
      </c>
      <c r="AJ27" t="s">
        <v>328</v>
      </c>
      <c r="AK27" t="s">
        <v>382</v>
      </c>
      <c r="AL27" t="s">
        <v>238</v>
      </c>
      <c r="AM27" t="s">
        <v>238</v>
      </c>
      <c r="AN27" t="s">
        <v>239</v>
      </c>
      <c r="AO27" t="s">
        <v>108</v>
      </c>
      <c r="AP27" t="s">
        <v>237</v>
      </c>
      <c r="AQ27" t="s">
        <v>237</v>
      </c>
    </row>
    <row r="28" spans="1:43" ht="17" x14ac:dyDescent="0.2">
      <c r="A28">
        <v>18</v>
      </c>
      <c r="B28" s="1">
        <v>45112</v>
      </c>
      <c r="C28" s="2">
        <v>0.57291666666666663</v>
      </c>
      <c r="D28" s="2" t="s">
        <v>414</v>
      </c>
      <c r="E28" t="s">
        <v>64</v>
      </c>
      <c r="F28">
        <v>2</v>
      </c>
      <c r="G28" t="s">
        <v>14</v>
      </c>
      <c r="H28" s="2">
        <v>0.41666666666666669</v>
      </c>
      <c r="I28" s="2">
        <v>0.5</v>
      </c>
      <c r="J28" s="8">
        <v>1</v>
      </c>
      <c r="K28">
        <v>26</v>
      </c>
      <c r="L28" t="s">
        <v>14</v>
      </c>
      <c r="M28">
        <v>0</v>
      </c>
      <c r="N28">
        <f>Table22[[#This Row],[burbot caught]]/Table22[[#This Row],[Total hours]]</f>
        <v>0</v>
      </c>
      <c r="O28">
        <v>0</v>
      </c>
      <c r="P28">
        <v>0</v>
      </c>
      <c r="Q28">
        <v>0</v>
      </c>
      <c r="R28" t="s">
        <v>30</v>
      </c>
      <c r="S28" t="s">
        <v>19</v>
      </c>
      <c r="T28" s="34" t="s">
        <v>219</v>
      </c>
      <c r="U28" t="s">
        <v>20</v>
      </c>
      <c r="V28" t="s">
        <v>46</v>
      </c>
      <c r="W28" t="s">
        <v>66</v>
      </c>
      <c r="X28" t="s">
        <v>405</v>
      </c>
      <c r="Y28" s="14" t="s">
        <v>238</v>
      </c>
      <c r="Z28" s="14" t="s">
        <v>110</v>
      </c>
      <c r="AA28" s="14" t="s">
        <v>111</v>
      </c>
      <c r="AB28" s="14" t="s">
        <v>72</v>
      </c>
      <c r="AC28" s="14" t="s">
        <v>73</v>
      </c>
      <c r="AD28" s="14" t="s">
        <v>82</v>
      </c>
      <c r="AE28" s="14" t="s">
        <v>46</v>
      </c>
      <c r="AF28" s="14" t="s">
        <v>46</v>
      </c>
      <c r="AG28" t="s">
        <v>245</v>
      </c>
      <c r="AH28" t="s">
        <v>328</v>
      </c>
      <c r="AI28" t="s">
        <v>382</v>
      </c>
      <c r="AJ28" t="s">
        <v>328</v>
      </c>
      <c r="AK28" t="s">
        <v>328</v>
      </c>
      <c r="AL28" t="s">
        <v>237</v>
      </c>
      <c r="AM28" t="s">
        <v>238</v>
      </c>
      <c r="AN28" t="s">
        <v>239</v>
      </c>
      <c r="AO28" t="s">
        <v>238</v>
      </c>
      <c r="AP28" t="s">
        <v>237</v>
      </c>
      <c r="AQ28" t="s">
        <v>240</v>
      </c>
    </row>
    <row r="29" spans="1:43" ht="17" x14ac:dyDescent="0.2">
      <c r="A29">
        <v>29</v>
      </c>
      <c r="B29" s="1">
        <v>45140</v>
      </c>
      <c r="C29" s="2">
        <v>0.47222222222222227</v>
      </c>
      <c r="D29" s="2" t="s">
        <v>414</v>
      </c>
      <c r="E29" t="s">
        <v>143</v>
      </c>
      <c r="F29">
        <v>4</v>
      </c>
      <c r="G29" t="s">
        <v>14</v>
      </c>
      <c r="H29" s="2" t="s">
        <v>144</v>
      </c>
      <c r="I29" s="2">
        <v>0.41666666666666669</v>
      </c>
      <c r="J29" s="8">
        <v>1</v>
      </c>
      <c r="K29">
        <f>14*4</f>
        <v>56</v>
      </c>
      <c r="L29" t="s">
        <v>14</v>
      </c>
      <c r="M29">
        <v>2</v>
      </c>
      <c r="N29">
        <f>Table22[[#This Row],[burbot caught]]/Table22[[#This Row],[Total hours]]</f>
        <v>3.5714285714285712E-2</v>
      </c>
      <c r="O29">
        <v>2</v>
      </c>
      <c r="P29">
        <v>0</v>
      </c>
      <c r="Q29">
        <v>1</v>
      </c>
      <c r="R29" t="s">
        <v>14</v>
      </c>
      <c r="S29" t="s">
        <v>19</v>
      </c>
      <c r="T29" t="s">
        <v>232</v>
      </c>
      <c r="U29" t="s">
        <v>145</v>
      </c>
      <c r="V29" t="s">
        <v>46</v>
      </c>
      <c r="W29" t="s">
        <v>308</v>
      </c>
      <c r="X29" t="s">
        <v>401</v>
      </c>
      <c r="Y29" s="14" t="s">
        <v>238</v>
      </c>
      <c r="Z29" s="13">
        <v>0.75</v>
      </c>
      <c r="AA29" s="13">
        <v>0.41666666666666669</v>
      </c>
      <c r="AB29" s="14" t="s">
        <v>72</v>
      </c>
      <c r="AC29" s="14" t="s">
        <v>90</v>
      </c>
      <c r="AD29" s="14" t="s">
        <v>82</v>
      </c>
      <c r="AE29" s="14" t="s">
        <v>347</v>
      </c>
      <c r="AF29" s="14" t="s">
        <v>394</v>
      </c>
      <c r="AG29" t="s">
        <v>238</v>
      </c>
      <c r="AH29" t="s">
        <v>328</v>
      </c>
      <c r="AI29" t="s">
        <v>382</v>
      </c>
      <c r="AJ29" t="s">
        <v>328</v>
      </c>
      <c r="AK29" t="s">
        <v>382</v>
      </c>
      <c r="AL29" t="s">
        <v>238</v>
      </c>
      <c r="AM29" t="s">
        <v>238</v>
      </c>
      <c r="AN29" t="s">
        <v>239</v>
      </c>
      <c r="AO29" t="s">
        <v>108</v>
      </c>
      <c r="AP29" t="s">
        <v>237</v>
      </c>
      <c r="AQ29" t="s">
        <v>266</v>
      </c>
    </row>
    <row r="30" spans="1:43" ht="17" x14ac:dyDescent="0.2">
      <c r="A30">
        <v>31</v>
      </c>
      <c r="B30" s="1">
        <v>45142</v>
      </c>
      <c r="C30" s="2">
        <v>0.44791666666666669</v>
      </c>
      <c r="D30" s="2" t="s">
        <v>414</v>
      </c>
      <c r="E30" t="s">
        <v>149</v>
      </c>
      <c r="F30">
        <v>5</v>
      </c>
      <c r="G30" t="s">
        <v>14</v>
      </c>
      <c r="H30" s="2">
        <v>0.85416666666666663</v>
      </c>
      <c r="I30" s="2">
        <v>0.41666666666666669</v>
      </c>
      <c r="J30" s="8">
        <v>1</v>
      </c>
      <c r="K30">
        <f>13.5*5</f>
        <v>67.5</v>
      </c>
      <c r="L30" t="s">
        <v>14</v>
      </c>
      <c r="M30">
        <v>2</v>
      </c>
      <c r="N30">
        <f>Table22[[#This Row],[burbot caught]]/Table22[[#This Row],[Total hours]]</f>
        <v>2.9629629629629631E-2</v>
      </c>
      <c r="O30">
        <v>2</v>
      </c>
      <c r="P30">
        <v>0</v>
      </c>
      <c r="Q30">
        <v>0</v>
      </c>
      <c r="R30" t="s">
        <v>14</v>
      </c>
      <c r="S30" t="s">
        <v>19</v>
      </c>
      <c r="T30" t="s">
        <v>219</v>
      </c>
      <c r="U30" t="s">
        <v>20</v>
      </c>
      <c r="V30" t="s">
        <v>46</v>
      </c>
      <c r="W30" t="s">
        <v>309</v>
      </c>
      <c r="X30" t="s">
        <v>405</v>
      </c>
      <c r="Y30" s="14" t="s">
        <v>238</v>
      </c>
      <c r="Z30" s="14" t="s">
        <v>150</v>
      </c>
      <c r="AA30" s="14" t="s">
        <v>91</v>
      </c>
      <c r="AB30" s="14" t="s">
        <v>86</v>
      </c>
      <c r="AC30" s="14" t="s">
        <v>90</v>
      </c>
      <c r="AD30" s="14" t="s">
        <v>82</v>
      </c>
      <c r="AE30" s="14" t="s">
        <v>350</v>
      </c>
      <c r="AF30" s="14" t="s">
        <v>391</v>
      </c>
      <c r="AG30" t="s">
        <v>239</v>
      </c>
      <c r="AH30" t="s">
        <v>151</v>
      </c>
      <c r="AI30" t="s">
        <v>382</v>
      </c>
      <c r="AJ30" t="s">
        <v>328</v>
      </c>
      <c r="AK30" t="s">
        <v>382</v>
      </c>
      <c r="AL30" t="s">
        <v>238</v>
      </c>
      <c r="AM30" t="s">
        <v>238</v>
      </c>
      <c r="AN30" t="s">
        <v>239</v>
      </c>
      <c r="AO30" t="s">
        <v>238</v>
      </c>
      <c r="AP30" t="s">
        <v>245</v>
      </c>
      <c r="AQ30" t="s">
        <v>239</v>
      </c>
    </row>
    <row r="31" spans="1:43" ht="34" x14ac:dyDescent="0.2">
      <c r="A31">
        <v>32</v>
      </c>
      <c r="B31" s="1">
        <v>45143</v>
      </c>
      <c r="C31" s="2">
        <v>0.58750000000000002</v>
      </c>
      <c r="D31" s="2" t="s">
        <v>415</v>
      </c>
      <c r="E31" t="s">
        <v>152</v>
      </c>
      <c r="F31">
        <v>2</v>
      </c>
      <c r="G31" t="s">
        <v>14</v>
      </c>
      <c r="H31" s="2">
        <v>0.8125</v>
      </c>
      <c r="I31" s="2">
        <v>0.4375</v>
      </c>
      <c r="J31" s="8">
        <v>1</v>
      </c>
      <c r="K31">
        <v>30</v>
      </c>
      <c r="L31" t="s">
        <v>14</v>
      </c>
      <c r="M31">
        <v>1</v>
      </c>
      <c r="N31">
        <f>Table22[[#This Row],[burbot caught]]/Table22[[#This Row],[Total hours]]</f>
        <v>3.3333333333333333E-2</v>
      </c>
      <c r="O31">
        <v>1</v>
      </c>
      <c r="P31">
        <v>0</v>
      </c>
      <c r="Q31">
        <v>0</v>
      </c>
      <c r="R31" t="s">
        <v>14</v>
      </c>
      <c r="S31" t="s">
        <v>19</v>
      </c>
      <c r="T31" t="s">
        <v>233</v>
      </c>
      <c r="U31" t="s">
        <v>153</v>
      </c>
      <c r="V31" t="s">
        <v>46</v>
      </c>
      <c r="W31" t="s">
        <v>310</v>
      </c>
      <c r="X31" t="s">
        <v>401</v>
      </c>
      <c r="Y31" s="14" t="s">
        <v>238</v>
      </c>
      <c r="Z31" s="14" t="s">
        <v>154</v>
      </c>
      <c r="AA31" s="14" t="s">
        <v>155</v>
      </c>
      <c r="AB31" s="14" t="s">
        <v>86</v>
      </c>
      <c r="AC31" s="14" t="s">
        <v>73</v>
      </c>
      <c r="AD31" s="14" t="s">
        <v>82</v>
      </c>
      <c r="AE31" s="14" t="s">
        <v>351</v>
      </c>
      <c r="AF31" s="14" t="s">
        <v>392</v>
      </c>
      <c r="AG31" t="s">
        <v>108</v>
      </c>
      <c r="AH31" t="s">
        <v>352</v>
      </c>
      <c r="AI31" t="s">
        <v>382</v>
      </c>
      <c r="AJ31" t="s">
        <v>353</v>
      </c>
      <c r="AK31" t="s">
        <v>382</v>
      </c>
      <c r="AL31" t="s">
        <v>238</v>
      </c>
      <c r="AM31" t="s">
        <v>237</v>
      </c>
      <c r="AN31" t="s">
        <v>239</v>
      </c>
      <c r="AO31" t="s">
        <v>108</v>
      </c>
      <c r="AP31" t="s">
        <v>237</v>
      </c>
      <c r="AQ31" t="s">
        <v>240</v>
      </c>
    </row>
    <row r="32" spans="1:43" ht="34" x14ac:dyDescent="0.2">
      <c r="A32">
        <v>4</v>
      </c>
      <c r="B32" s="1">
        <v>45102</v>
      </c>
      <c r="C32" s="2">
        <v>0.42499999999999999</v>
      </c>
      <c r="D32" s="2" t="s">
        <v>415</v>
      </c>
      <c r="E32" t="s">
        <v>25</v>
      </c>
      <c r="F32">
        <v>2</v>
      </c>
      <c r="G32" t="s">
        <v>14</v>
      </c>
      <c r="H32" s="2">
        <v>0.91666666666666663</v>
      </c>
      <c r="I32" s="2">
        <v>0.41666666666666669</v>
      </c>
      <c r="J32" s="8">
        <v>1</v>
      </c>
      <c r="K32">
        <v>12</v>
      </c>
      <c r="L32" t="s">
        <v>14</v>
      </c>
      <c r="M32">
        <v>2</v>
      </c>
      <c r="N32">
        <f>Table22[[#This Row],[burbot caught]]/Table22[[#This Row],[Total hours]]</f>
        <v>0.16666666666666666</v>
      </c>
      <c r="O32">
        <v>2</v>
      </c>
      <c r="P32">
        <v>0</v>
      </c>
      <c r="Q32">
        <v>1</v>
      </c>
      <c r="R32" t="s">
        <v>14</v>
      </c>
      <c r="S32" t="s">
        <v>19</v>
      </c>
      <c r="T32" t="s">
        <v>212</v>
      </c>
      <c r="U32" t="s">
        <v>207</v>
      </c>
      <c r="V32" t="s">
        <v>208</v>
      </c>
      <c r="W32" t="s">
        <v>26</v>
      </c>
      <c r="X32" t="s">
        <v>402</v>
      </c>
      <c r="Y32" s="12" t="s">
        <v>238</v>
      </c>
      <c r="Z32" s="13">
        <v>0.41666666666666669</v>
      </c>
      <c r="AA32" s="13">
        <v>0.41666666666666669</v>
      </c>
      <c r="AB32" s="14" t="s">
        <v>72</v>
      </c>
      <c r="AC32" s="14" t="s">
        <v>73</v>
      </c>
      <c r="AD32" s="14" t="s">
        <v>82</v>
      </c>
      <c r="AE32" s="14" t="s">
        <v>331</v>
      </c>
      <c r="AF32" s="14" t="s">
        <v>391</v>
      </c>
      <c r="AG32" t="s">
        <v>108</v>
      </c>
      <c r="AH32" t="s">
        <v>83</v>
      </c>
      <c r="AI32" t="s">
        <v>385</v>
      </c>
      <c r="AJ32" t="s">
        <v>332</v>
      </c>
      <c r="AK32" t="s">
        <v>382</v>
      </c>
      <c r="AL32" t="s">
        <v>237</v>
      </c>
      <c r="AM32" t="s">
        <v>237</v>
      </c>
      <c r="AN32" t="s">
        <v>239</v>
      </c>
      <c r="AO32" t="s">
        <v>108</v>
      </c>
      <c r="AP32" t="s">
        <v>245</v>
      </c>
      <c r="AQ32" t="s">
        <v>240</v>
      </c>
    </row>
    <row r="33" spans="1:43" ht="17" x14ac:dyDescent="0.2">
      <c r="A33">
        <v>37</v>
      </c>
      <c r="B33" s="1">
        <v>45171</v>
      </c>
      <c r="C33" s="2">
        <v>0.58333333333333337</v>
      </c>
      <c r="D33" s="2" t="s">
        <v>415</v>
      </c>
      <c r="E33" t="s">
        <v>170</v>
      </c>
      <c r="F33" t="s">
        <v>128</v>
      </c>
      <c r="G33" t="s">
        <v>14</v>
      </c>
      <c r="H33" s="2">
        <v>0.83333333333333337</v>
      </c>
      <c r="I33" s="2">
        <v>0.35416666666666669</v>
      </c>
      <c r="J33" s="8">
        <v>1</v>
      </c>
      <c r="K33">
        <f>12.5*2</f>
        <v>25</v>
      </c>
      <c r="L33" t="s">
        <v>14</v>
      </c>
      <c r="M33">
        <v>1</v>
      </c>
      <c r="N33">
        <f>Table22[[#This Row],[burbot caught]]/Table22[[#This Row],[Total hours]]</f>
        <v>0.04</v>
      </c>
      <c r="O33">
        <v>1</v>
      </c>
      <c r="P33">
        <v>0</v>
      </c>
      <c r="Q33">
        <v>0</v>
      </c>
      <c r="R33" t="s">
        <v>14</v>
      </c>
      <c r="S33" t="s">
        <v>19</v>
      </c>
      <c r="T33" t="s">
        <v>221</v>
      </c>
      <c r="U33" t="s">
        <v>39</v>
      </c>
      <c r="V33" t="s">
        <v>46</v>
      </c>
      <c r="W33" t="s">
        <v>171</v>
      </c>
      <c r="X33" t="s">
        <v>408</v>
      </c>
      <c r="Y33" s="14" t="s">
        <v>238</v>
      </c>
      <c r="Z33" s="14" t="s">
        <v>172</v>
      </c>
      <c r="AA33" s="14" t="s">
        <v>52</v>
      </c>
      <c r="AB33" s="14" t="s">
        <v>86</v>
      </c>
      <c r="AC33" s="14" t="s">
        <v>73</v>
      </c>
      <c r="AD33" s="14" t="s">
        <v>82</v>
      </c>
      <c r="AE33" s="14" t="s">
        <v>358</v>
      </c>
      <c r="AF33" s="14" t="s">
        <v>397</v>
      </c>
      <c r="AG33" t="s">
        <v>245</v>
      </c>
      <c r="AH33" t="s">
        <v>173</v>
      </c>
      <c r="AI33" t="s">
        <v>386</v>
      </c>
      <c r="AJ33" t="s">
        <v>357</v>
      </c>
      <c r="AK33" t="s">
        <v>382</v>
      </c>
      <c r="AL33" t="s">
        <v>238</v>
      </c>
      <c r="AM33" t="s">
        <v>238</v>
      </c>
      <c r="AN33" t="s">
        <v>237</v>
      </c>
      <c r="AO33" t="s">
        <v>108</v>
      </c>
      <c r="AP33" t="s">
        <v>245</v>
      </c>
      <c r="AQ33" t="s">
        <v>240</v>
      </c>
    </row>
    <row r="34" spans="1:43" ht="17" x14ac:dyDescent="0.2">
      <c r="A34">
        <v>6</v>
      </c>
      <c r="B34" s="1">
        <v>45102</v>
      </c>
      <c r="C34" s="2">
        <v>0.5625</v>
      </c>
      <c r="D34" s="2" t="s">
        <v>415</v>
      </c>
      <c r="E34" t="s">
        <v>31</v>
      </c>
      <c r="F34">
        <v>2</v>
      </c>
      <c r="G34" t="s">
        <v>14</v>
      </c>
      <c r="H34" s="2" t="s">
        <v>32</v>
      </c>
      <c r="I34" s="2" t="s">
        <v>33</v>
      </c>
      <c r="J34" s="8">
        <v>3</v>
      </c>
      <c r="K34">
        <v>64</v>
      </c>
      <c r="L34" t="s">
        <v>14</v>
      </c>
      <c r="M34">
        <v>3</v>
      </c>
      <c r="N34">
        <f>Table22[[#This Row],[burbot caught]]/Table22[[#This Row],[Total hours]]</f>
        <v>4.6875E-2</v>
      </c>
      <c r="O34">
        <v>3</v>
      </c>
      <c r="P34">
        <v>0</v>
      </c>
      <c r="Q34">
        <v>0</v>
      </c>
      <c r="R34" t="s">
        <v>14</v>
      </c>
      <c r="S34" t="s">
        <v>34</v>
      </c>
      <c r="T34" t="s">
        <v>215</v>
      </c>
      <c r="U34" t="s">
        <v>35</v>
      </c>
      <c r="V34" t="s">
        <v>46</v>
      </c>
      <c r="W34" t="s">
        <v>288</v>
      </c>
      <c r="X34" t="s">
        <v>403</v>
      </c>
      <c r="Y34" s="14" t="s">
        <v>238</v>
      </c>
      <c r="Z34" s="13">
        <v>0.70833333333333337</v>
      </c>
      <c r="AA34" s="13">
        <v>0.375</v>
      </c>
      <c r="AB34" s="14" t="s">
        <v>86</v>
      </c>
      <c r="AC34" s="14" t="s">
        <v>73</v>
      </c>
      <c r="AD34" s="14" t="s">
        <v>73</v>
      </c>
      <c r="AE34" s="14" t="s">
        <v>328</v>
      </c>
      <c r="AF34" s="14" t="s">
        <v>382</v>
      </c>
      <c r="AG34" t="s">
        <v>238</v>
      </c>
      <c r="AH34" t="s">
        <v>328</v>
      </c>
      <c r="AI34" t="s">
        <v>382</v>
      </c>
      <c r="AJ34" t="s">
        <v>328</v>
      </c>
      <c r="AK34" t="s">
        <v>382</v>
      </c>
      <c r="AL34" t="s">
        <v>245</v>
      </c>
      <c r="AM34" t="s">
        <v>238</v>
      </c>
      <c r="AN34" t="s">
        <v>239</v>
      </c>
      <c r="AO34" t="s">
        <v>238</v>
      </c>
      <c r="AP34" t="s">
        <v>245</v>
      </c>
      <c r="AQ34" t="s">
        <v>245</v>
      </c>
    </row>
    <row r="35" spans="1:43" ht="17" x14ac:dyDescent="0.2">
      <c r="A35">
        <v>28</v>
      </c>
      <c r="B35" s="1">
        <v>45139</v>
      </c>
      <c r="C35" s="2">
        <v>0.46875</v>
      </c>
      <c r="D35" s="2" t="s">
        <v>414</v>
      </c>
      <c r="E35" t="s">
        <v>138</v>
      </c>
      <c r="F35">
        <v>3</v>
      </c>
      <c r="G35" t="s">
        <v>14</v>
      </c>
      <c r="H35" s="2">
        <v>0.75</v>
      </c>
      <c r="I35" s="2">
        <v>0.35416666666666669</v>
      </c>
      <c r="J35" s="8">
        <v>2</v>
      </c>
      <c r="K35">
        <f>14.5*3</f>
        <v>43.5</v>
      </c>
      <c r="L35" t="s">
        <v>14</v>
      </c>
      <c r="M35">
        <v>2</v>
      </c>
      <c r="N35">
        <f>Table22[[#This Row],[burbot caught]]/Table22[[#This Row],[Total hours]]</f>
        <v>4.5977011494252873E-2</v>
      </c>
      <c r="O35">
        <v>2</v>
      </c>
      <c r="P35">
        <v>0</v>
      </c>
      <c r="Q35">
        <v>1</v>
      </c>
      <c r="R35" t="s">
        <v>14</v>
      </c>
      <c r="S35" t="s">
        <v>19</v>
      </c>
      <c r="T35" t="s">
        <v>222</v>
      </c>
      <c r="U35" t="s">
        <v>41</v>
      </c>
      <c r="V35" t="s">
        <v>46</v>
      </c>
      <c r="W35" t="s">
        <v>307</v>
      </c>
      <c r="X35" t="s">
        <v>404</v>
      </c>
      <c r="Y35" s="14" t="s">
        <v>237</v>
      </c>
      <c r="Z35" s="14" t="s">
        <v>93</v>
      </c>
      <c r="AA35" s="14" t="s">
        <v>52</v>
      </c>
      <c r="AB35" s="14" t="s">
        <v>86</v>
      </c>
      <c r="AC35" s="14" t="s">
        <v>73</v>
      </c>
      <c r="AD35" s="14" t="s">
        <v>141</v>
      </c>
      <c r="AE35" s="14" t="s">
        <v>46</v>
      </c>
      <c r="AF35" s="14" t="s">
        <v>46</v>
      </c>
      <c r="AG35" t="s">
        <v>239</v>
      </c>
      <c r="AH35" t="s">
        <v>346</v>
      </c>
      <c r="AI35" t="s">
        <v>382</v>
      </c>
      <c r="AJ35" t="s">
        <v>142</v>
      </c>
      <c r="AK35" t="s">
        <v>382</v>
      </c>
      <c r="AL35" t="s">
        <v>238</v>
      </c>
      <c r="AM35" t="s">
        <v>108</v>
      </c>
      <c r="AN35" t="s">
        <v>239</v>
      </c>
      <c r="AO35" t="s">
        <v>238</v>
      </c>
      <c r="AP35" t="s">
        <v>237</v>
      </c>
      <c r="AQ35" t="s">
        <v>240</v>
      </c>
    </row>
    <row r="36" spans="1:43" x14ac:dyDescent="0.2">
      <c r="A36">
        <v>3</v>
      </c>
      <c r="B36" s="1">
        <v>45101</v>
      </c>
      <c r="C36" s="2">
        <v>0.66666666666666663</v>
      </c>
      <c r="D36" s="2" t="s">
        <v>415</v>
      </c>
      <c r="E36" t="s">
        <v>13</v>
      </c>
      <c r="F36">
        <v>2</v>
      </c>
      <c r="G36" t="s">
        <v>14</v>
      </c>
      <c r="H36" s="2">
        <v>0.375</v>
      </c>
      <c r="I36" s="2">
        <v>0.625</v>
      </c>
      <c r="J36" s="8">
        <v>1</v>
      </c>
      <c r="K36">
        <v>12</v>
      </c>
      <c r="L36" t="s">
        <v>14</v>
      </c>
      <c r="M36">
        <v>2</v>
      </c>
      <c r="N36">
        <f>Table22[[#This Row],[burbot caught]]/Table22[[#This Row],[Total hours]]</f>
        <v>0.16666666666666666</v>
      </c>
      <c r="O36">
        <v>2</v>
      </c>
      <c r="P36">
        <v>0</v>
      </c>
      <c r="Q36">
        <v>0</v>
      </c>
      <c r="R36" t="s">
        <v>14</v>
      </c>
      <c r="S36" t="s">
        <v>19</v>
      </c>
      <c r="T36" t="s">
        <v>219</v>
      </c>
      <c r="U36" t="s">
        <v>20</v>
      </c>
      <c r="V36" t="s">
        <v>46</v>
      </c>
      <c r="W36" t="s">
        <v>285</v>
      </c>
      <c r="X36" t="s">
        <v>406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 t="s">
        <v>46</v>
      </c>
      <c r="AL36" t="s">
        <v>46</v>
      </c>
      <c r="AM36" t="s">
        <v>46</v>
      </c>
      <c r="AN36" t="s">
        <v>46</v>
      </c>
      <c r="AO36" t="s">
        <v>46</v>
      </c>
      <c r="AP36" t="s">
        <v>46</v>
      </c>
      <c r="AQ36" t="s">
        <v>46</v>
      </c>
    </row>
    <row r="37" spans="1:43" x14ac:dyDescent="0.2">
      <c r="A37">
        <v>19</v>
      </c>
      <c r="B37" s="1">
        <v>45113</v>
      </c>
      <c r="C37" s="2"/>
      <c r="D37" s="2" t="s">
        <v>414</v>
      </c>
      <c r="E37" t="s">
        <v>64</v>
      </c>
      <c r="F37">
        <v>2</v>
      </c>
      <c r="G37" t="s">
        <v>14</v>
      </c>
      <c r="H37" s="2">
        <v>0.79166666666666663</v>
      </c>
      <c r="I37" s="2">
        <v>0.44791666666666669</v>
      </c>
      <c r="J37" s="8">
        <v>1</v>
      </c>
      <c r="K37">
        <v>15.75</v>
      </c>
      <c r="L37" t="s">
        <v>14</v>
      </c>
      <c r="M37">
        <v>0</v>
      </c>
      <c r="N37">
        <f>Table22[[#This Row],[burbot caught]]/Table22[[#This Row],[Total hours]]</f>
        <v>0</v>
      </c>
      <c r="O37">
        <v>0</v>
      </c>
      <c r="P37">
        <v>0</v>
      </c>
      <c r="Q37">
        <v>0</v>
      </c>
      <c r="R37" t="s">
        <v>30</v>
      </c>
      <c r="S37" t="s">
        <v>19</v>
      </c>
      <c r="T37" s="34" t="s">
        <v>219</v>
      </c>
      <c r="U37" t="s">
        <v>20</v>
      </c>
      <c r="V37" t="s">
        <v>46</v>
      </c>
      <c r="W37" t="s">
        <v>66</v>
      </c>
      <c r="X37" t="s">
        <v>405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J37" t="s">
        <v>46</v>
      </c>
      <c r="AK37" t="s">
        <v>46</v>
      </c>
      <c r="AL37" t="s">
        <v>46</v>
      </c>
      <c r="AM37" t="s">
        <v>46</v>
      </c>
      <c r="AN37" t="s">
        <v>46</v>
      </c>
      <c r="AO37" t="s">
        <v>46</v>
      </c>
      <c r="AP37" t="s">
        <v>46</v>
      </c>
      <c r="AQ37" t="s">
        <v>46</v>
      </c>
    </row>
    <row r="38" spans="1:43" x14ac:dyDescent="0.2">
      <c r="A38">
        <v>20</v>
      </c>
      <c r="B38" s="1">
        <v>45128</v>
      </c>
      <c r="C38" s="2">
        <v>0.47916666666666669</v>
      </c>
      <c r="D38" s="2" t="s">
        <v>414</v>
      </c>
      <c r="E38" t="s">
        <v>31</v>
      </c>
      <c r="F38">
        <v>2</v>
      </c>
      <c r="G38" t="s">
        <v>14</v>
      </c>
      <c r="H38" s="1">
        <v>45125.75</v>
      </c>
      <c r="I38" s="3">
        <v>45128.333333333336</v>
      </c>
      <c r="J38" s="8">
        <v>5</v>
      </c>
      <c r="K38">
        <f>14*5</f>
        <v>70</v>
      </c>
      <c r="L38" t="s">
        <v>14</v>
      </c>
      <c r="M38">
        <v>0</v>
      </c>
      <c r="N38">
        <f>Table22[[#This Row],[burbot caught]]/Table22[[#This Row],[Total hours]]</f>
        <v>0</v>
      </c>
      <c r="O38">
        <v>0</v>
      </c>
      <c r="P38">
        <v>0</v>
      </c>
      <c r="Q38">
        <v>0</v>
      </c>
      <c r="R38" t="s">
        <v>30</v>
      </c>
      <c r="S38" t="s">
        <v>19</v>
      </c>
      <c r="T38" t="s">
        <v>215</v>
      </c>
      <c r="U38" t="s">
        <v>35</v>
      </c>
      <c r="V38" t="s">
        <v>46</v>
      </c>
      <c r="W38" t="s">
        <v>288</v>
      </c>
      <c r="X38" t="s">
        <v>403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 t="s">
        <v>46</v>
      </c>
      <c r="AL38" t="s">
        <v>46</v>
      </c>
      <c r="AM38" t="s">
        <v>46</v>
      </c>
      <c r="AN38" t="s">
        <v>46</v>
      </c>
      <c r="AO38" t="s">
        <v>46</v>
      </c>
      <c r="AP38" t="s">
        <v>46</v>
      </c>
      <c r="AQ38" t="s">
        <v>46</v>
      </c>
    </row>
    <row r="39" spans="1:43" x14ac:dyDescent="0.2">
      <c r="A39">
        <v>21</v>
      </c>
      <c r="B39" s="1">
        <v>45129</v>
      </c>
      <c r="C39" s="2">
        <v>0.42708333333333331</v>
      </c>
      <c r="D39" s="2" t="s">
        <v>415</v>
      </c>
      <c r="E39" t="s">
        <v>112</v>
      </c>
      <c r="F39">
        <v>3</v>
      </c>
      <c r="G39" t="s">
        <v>14</v>
      </c>
      <c r="H39" s="2">
        <v>0.375</v>
      </c>
      <c r="I39" s="2">
        <v>0.39583333333333331</v>
      </c>
      <c r="J39" s="8" t="s">
        <v>362</v>
      </c>
      <c r="K39">
        <v>0.5</v>
      </c>
      <c r="L39" t="s">
        <v>14</v>
      </c>
      <c r="M39">
        <v>1</v>
      </c>
      <c r="N39">
        <f>Table22[[#This Row],[burbot caught]]/Table22[[#This Row],[Total hours]]</f>
        <v>2</v>
      </c>
      <c r="O39">
        <v>1</v>
      </c>
      <c r="P39">
        <v>0</v>
      </c>
      <c r="Q39">
        <v>0</v>
      </c>
      <c r="R39" t="s">
        <v>30</v>
      </c>
      <c r="S39" t="s">
        <v>124</v>
      </c>
      <c r="T39" t="s">
        <v>126</v>
      </c>
      <c r="V39" t="s">
        <v>46</v>
      </c>
      <c r="W39" t="s">
        <v>302</v>
      </c>
      <c r="X39" t="s">
        <v>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carp_creel_A</vt:lpstr>
      <vt:lpstr>carp_creel_B</vt:lpstr>
      <vt:lpstr>carp_creel_C</vt:lpstr>
      <vt:lpstr>carp_creel_D</vt:lpstr>
      <vt:lpstr>carp_creel_bbdata</vt:lpstr>
      <vt:lpstr>multiple_choice_codes</vt:lpstr>
      <vt:lpstr>creeldata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Hirsch</cp:lastModifiedBy>
  <dcterms:created xsi:type="dcterms:W3CDTF">2023-05-11T16:48:57Z</dcterms:created>
  <dcterms:modified xsi:type="dcterms:W3CDTF">2026-01-13T02:13:19Z</dcterms:modified>
</cp:coreProperties>
</file>