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2F4360BA-5703-2143-9FCB-939FB082BC85}" xr6:coauthVersionLast="47" xr6:coauthVersionMax="47" xr10:uidLastSave="{00000000-0000-0000-0000-000000000000}"/>
  <bookViews>
    <workbookView xWindow="12140" yWindow="500" windowWidth="26380" windowHeight="15440" xr2:uid="{D8AB384D-32ED-A346-B772-8B9033DC9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J56" i="1"/>
  <c r="J49" i="1"/>
  <c r="J48" i="1"/>
  <c r="J47" i="1"/>
  <c r="J45" i="1"/>
  <c r="J44" i="1"/>
  <c r="J43" i="1"/>
  <c r="J42" i="1"/>
  <c r="J38" i="1"/>
  <c r="J36" i="1"/>
  <c r="J35" i="1"/>
  <c r="J34" i="1"/>
  <c r="J33" i="1"/>
  <c r="J31" i="1"/>
  <c r="J27" i="1"/>
  <c r="J26" i="1"/>
  <c r="J25" i="1"/>
  <c r="J23" i="1"/>
  <c r="J22" i="1"/>
  <c r="J20" i="1"/>
  <c r="J18" i="1"/>
  <c r="J17" i="1"/>
  <c r="J16" i="1"/>
  <c r="J14" i="1"/>
  <c r="J13" i="1"/>
  <c r="J12" i="1"/>
  <c r="J10" i="1"/>
  <c r="J9" i="1"/>
  <c r="J8" i="1"/>
  <c r="J7" i="1"/>
  <c r="J6" i="1"/>
  <c r="J4" i="1"/>
  <c r="J3" i="1"/>
</calcChain>
</file>

<file path=xl/sharedStrings.xml><?xml version="1.0" encoding="utf-8"?>
<sst xmlns="http://schemas.openxmlformats.org/spreadsheetml/2006/main" count="303" uniqueCount="76">
  <si>
    <t>Carp Lake</t>
  </si>
  <si>
    <t>OT</t>
  </si>
  <si>
    <t>BURB</t>
  </si>
  <si>
    <t>G</t>
  </si>
  <si>
    <t>BB1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</si>
  <si>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</si>
  <si>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</si>
  <si>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</si>
  <si>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</si>
  <si>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</si>
  <si>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</si>
  <si>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</si>
  <si>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</si>
  <si>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</si>
  <si>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</si>
  <si>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</si>
  <si>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BB15</t>
  </si>
  <si>
    <t>BB16</t>
  </si>
  <si>
    <t>BB18</t>
  </si>
  <si>
    <t>BB19</t>
  </si>
  <si>
    <t>BB20</t>
  </si>
  <si>
    <t>BB21</t>
  </si>
  <si>
    <t>BB22</t>
  </si>
  <si>
    <t>BB29</t>
  </si>
  <si>
    <t>BB30</t>
  </si>
  <si>
    <t>BB31</t>
  </si>
  <si>
    <t>BB32</t>
  </si>
  <si>
    <t>BB33</t>
  </si>
  <si>
    <t>BB34</t>
  </si>
  <si>
    <t>BB35</t>
  </si>
  <si>
    <t>BB36</t>
  </si>
  <si>
    <t>BB37</t>
  </si>
  <si>
    <t>BB38</t>
  </si>
  <si>
    <t>BB39</t>
  </si>
  <si>
    <t>BB40</t>
  </si>
  <si>
    <t>BB41</t>
  </si>
  <si>
    <t>BB42</t>
  </si>
  <si>
    <t>BB43</t>
  </si>
  <si>
    <t>BB44</t>
  </si>
  <si>
    <t>BB45</t>
  </si>
  <si>
    <t>BB46</t>
  </si>
  <si>
    <t>BB47</t>
  </si>
  <si>
    <t>BB48</t>
  </si>
  <si>
    <t>BB49</t>
  </si>
  <si>
    <t>BB50</t>
  </si>
  <si>
    <t>BB51</t>
  </si>
  <si>
    <t>BB52</t>
  </si>
  <si>
    <t>BB53</t>
  </si>
  <si>
    <t>BB54</t>
  </si>
  <si>
    <t>BB55</t>
  </si>
  <si>
    <t>BB7403</t>
  </si>
  <si>
    <t>Lake</t>
  </si>
  <si>
    <t>Date</t>
  </si>
  <si>
    <t>structure</t>
  </si>
  <si>
    <t>species</t>
  </si>
  <si>
    <t>fish</t>
  </si>
  <si>
    <t>age</t>
  </si>
  <si>
    <t>con_ind</t>
  </si>
  <si>
    <t>bb_id</t>
  </si>
  <si>
    <t>Fraser Lake</t>
  </si>
  <si>
    <t>Burbot</t>
  </si>
  <si>
    <t>A</t>
  </si>
  <si>
    <t>BB-A</t>
  </si>
  <si>
    <t>B</t>
  </si>
  <si>
    <t>BB-B</t>
  </si>
  <si>
    <t>C</t>
  </si>
  <si>
    <t>BB-C</t>
  </si>
  <si>
    <t>BB-01-2016</t>
  </si>
  <si>
    <t>BB-01</t>
  </si>
  <si>
    <t>BB-02</t>
  </si>
  <si>
    <t>BB7366</t>
  </si>
  <si>
    <t>BB7368</t>
  </si>
  <si>
    <t>BB7479</t>
  </si>
  <si>
    <t>length</t>
  </si>
  <si>
    <t>weight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</si>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</sst>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1" applyNumberFormat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0" fillId="0" borderId="3" xfId="0" applyBorder="1"/>
    <xf numFmtId="0" fontId="0" fillId="0" borderId="0" xfId="0" applyBorder="1"/>
  </cellXfs>
  <cellStyles count="2">
    <cellStyle name="Normal" xfId="0" builtinId="0"/>
    <cellStyle name="Normal 5" xfId="1" xr:uid="{4161C5D8-59A4-FF4D-9879-9EF6D31660EE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m/d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B5A30-A16E-EE48-AEDE-9A3A6E7259F9}" name="Table1" displayName="Table1" ref="A1:J57" totalsRowShown="0">
  <autoFilter ref="A1:J57" xr:uid="{1ADB5A30-A16E-EE48-AEDE-9A3A6E7259F9}"/>
  <sortState xmlns:xlrd2="http://schemas.microsoft.com/office/spreadsheetml/2017/richdata2" ref="A2:J57">
    <sortCondition ref="A1:A57"/>
  </sortState>
  <tableColumns count="10">
    <tableColumn id="1" xr3:uid="{75B2609E-292D-7340-A1DE-676A54735AE1}" name="Lake" dataDxfId="7"/>
    <tableColumn id="2" xr3:uid="{475B83E7-7F51-E145-AEBA-3CAC9C31FF4E}" name="Date" dataDxfId="6" dataCellStyle="Normal 5"/>
    <tableColumn id="3" xr3:uid="{3BB83DF1-97A4-564D-8002-BF8BB0ED4F06}" name="structure" dataDxfId="5"/>
    <tableColumn id="4" xr3:uid="{C766FF05-5312-8C4B-94D6-D0E348DDF599}" name="species" dataDxfId="4"/>
    <tableColumn id="5" xr3:uid="{AF7843C6-A38F-5B45-A95D-A32A74EBDFE0}" name="fish" dataDxfId="3"/>
    <tableColumn id="6" xr3:uid="{A9951144-05E2-A945-B78E-A7D69EAFC0F2}" name="age" dataDxfId="2"/>
    <tableColumn id="7" xr3:uid="{77E60692-7858-084E-A009-BF543FC5A2CB}" name="con_ind" dataDxfId="1"/>
    <tableColumn id="8" xr3:uid="{BD900A27-CCE8-2246-9185-86F69C8B0B63}" name="bb_id" dataDxfId="0" dataCellStyle="Normal 5"/>
    <tableColumn id="9" xr3:uid="{EB891C46-5181-044E-A83A-3425180AD91A}" name="length"/>
    <tableColumn id="10" xr3:uid="{5E34395B-99FC-3347-8C82-CA858767D895}" name="weight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1E19-6549-9D43-90F6-237DA40286CE}">
  <dimension ref="A1:J61"/>
  <sheetViews>
    <sheetView tabSelected="1" topLeftCell="A30" workbookViewId="0">
      <selection activeCell="K50" sqref="K50"/>
    </sheetView>
  </sheetViews>
  <sheetFormatPr baseColWidth="10" defaultRowHeight="16" x14ac:dyDescent="0.2"/>
  <cols>
    <col min="3" max="3" width="11" customWidth="1"/>
  </cols>
  <sheetData>
    <row r="1" spans="1:10" x14ac:dyDescent="0.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73</v>
      </c>
      <c r="J1" t="s">
        <v>74</v>
      </c>
    </row>
    <row r="2" spans="1:10" x14ac:dyDescent="0.2">
      <c r="A2" s="1" t="s">
        <v>0</v>
      </c>
      <c r="B2" s="2">
        <v>45130</v>
      </c>
      <c r="C2" s="1" t="s">
        <v>1</v>
      </c>
      <c r="D2" s="1" t="s">
        <v>2</v>
      </c>
      <c r="E2" s="1">
        <v>39</v>
      </c>
      <c r="F2" s="1">
        <v>6</v>
      </c>
      <c r="G2" s="1" t="s">
        <v>3</v>
      </c>
      <c r="H2" s="3" t="s">
        <v>33</v>
      </c>
      <c r="I2">
        <v>50</v>
      </c>
      <c r="J2" t="s">
        <v>75</v>
      </c>
    </row>
    <row r="3" spans="1:10" x14ac:dyDescent="0.2">
      <c r="A3" s="1" t="s">
        <v>0</v>
      </c>
      <c r="B3" s="2">
        <v>45072</v>
      </c>
      <c r="C3" s="1" t="s">
        <v>1</v>
      </c>
      <c r="D3" s="1" t="s">
        <v>2</v>
      </c>
      <c r="E3" s="1">
        <v>1</v>
      </c>
      <c r="F3" s="1">
        <v>9</v>
      </c>
      <c r="G3" s="1" t="s">
        <v>3</v>
      </c>
      <c r="H3" s="3" t="s">
        <v>4</v>
      </c>
      <c r="I3">
        <v>58.5</v>
      </c>
      <c r="J3">
        <f>1800-500</f>
        <v>1300</v>
      </c>
    </row>
    <row r="4" spans="1:10" x14ac:dyDescent="0.2">
      <c r="A4" s="1" t="s">
        <v>0</v>
      </c>
      <c r="B4" s="2">
        <v>45079</v>
      </c>
      <c r="C4" s="1" t="s">
        <v>1</v>
      </c>
      <c r="D4" s="1" t="s">
        <v>2</v>
      </c>
      <c r="E4" s="1">
        <v>6</v>
      </c>
      <c r="F4" s="1">
        <v>9</v>
      </c>
      <c r="G4" s="1" t="s">
        <v>3</v>
      </c>
      <c r="H4" s="3" t="s">
        <v>7</v>
      </c>
      <c r="I4">
        <v>59</v>
      </c>
      <c r="J4">
        <f>2050-500</f>
        <v>1550</v>
      </c>
    </row>
    <row r="5" spans="1:10" x14ac:dyDescent="0.2">
      <c r="A5" s="1" t="s">
        <v>0</v>
      </c>
      <c r="B5" s="2">
        <v>45083</v>
      </c>
      <c r="C5" s="1" t="s">
        <v>1</v>
      </c>
      <c r="D5" s="1" t="s">
        <v>2</v>
      </c>
      <c r="E5" s="1">
        <v>8</v>
      </c>
      <c r="F5" s="1">
        <v>9</v>
      </c>
      <c r="G5" s="1" t="s">
        <v>3</v>
      </c>
      <c r="H5" s="3" t="s">
        <v>9</v>
      </c>
      <c r="I5">
        <v>58</v>
      </c>
      <c r="J5" t="s">
        <v>75</v>
      </c>
    </row>
    <row r="6" spans="1:10" x14ac:dyDescent="0.2">
      <c r="A6" s="1" t="s">
        <v>0</v>
      </c>
      <c r="B6" s="2">
        <v>45102</v>
      </c>
      <c r="C6" s="1" t="s">
        <v>1</v>
      </c>
      <c r="D6" s="1" t="s">
        <v>2</v>
      </c>
      <c r="E6" s="1">
        <v>18</v>
      </c>
      <c r="F6" s="1">
        <v>9</v>
      </c>
      <c r="G6" s="1" t="s">
        <v>3</v>
      </c>
      <c r="H6" s="3" t="s">
        <v>18</v>
      </c>
      <c r="I6">
        <v>64.5</v>
      </c>
      <c r="J6">
        <f>2200-500</f>
        <v>1700</v>
      </c>
    </row>
    <row r="7" spans="1:10" x14ac:dyDescent="0.2">
      <c r="A7" s="1" t="s">
        <v>0</v>
      </c>
      <c r="B7" s="2">
        <v>45108</v>
      </c>
      <c r="C7" s="1" t="s">
        <v>1</v>
      </c>
      <c r="D7" s="1" t="s">
        <v>2</v>
      </c>
      <c r="E7" s="1">
        <v>29</v>
      </c>
      <c r="F7" s="1">
        <v>9</v>
      </c>
      <c r="G7" s="1" t="s">
        <v>3</v>
      </c>
      <c r="H7" s="3" t="s">
        <v>23</v>
      </c>
      <c r="I7">
        <v>54</v>
      </c>
      <c r="J7">
        <f>1550-500</f>
        <v>1050</v>
      </c>
    </row>
    <row r="8" spans="1:10" x14ac:dyDescent="0.2">
      <c r="A8" s="1" t="s">
        <v>0</v>
      </c>
      <c r="B8" s="2">
        <v>45141</v>
      </c>
      <c r="C8" s="1" t="s">
        <v>1</v>
      </c>
      <c r="D8" s="1" t="s">
        <v>2</v>
      </c>
      <c r="E8" s="1">
        <v>43</v>
      </c>
      <c r="F8" s="1">
        <v>9</v>
      </c>
      <c r="G8" s="1" t="s">
        <v>3</v>
      </c>
      <c r="H8" s="3" t="s">
        <v>37</v>
      </c>
      <c r="I8">
        <v>60.5</v>
      </c>
      <c r="J8">
        <f>1800-500</f>
        <v>1300</v>
      </c>
    </row>
    <row r="9" spans="1:10" x14ac:dyDescent="0.2">
      <c r="A9" s="1" t="s">
        <v>0</v>
      </c>
      <c r="B9" s="2">
        <v>45142</v>
      </c>
      <c r="C9" s="1" t="s">
        <v>1</v>
      </c>
      <c r="D9" s="1" t="s">
        <v>2</v>
      </c>
      <c r="E9" s="1">
        <v>47</v>
      </c>
      <c r="F9" s="1">
        <v>9</v>
      </c>
      <c r="G9" s="1" t="s">
        <v>3</v>
      </c>
      <c r="H9" s="3" t="s">
        <v>41</v>
      </c>
      <c r="I9">
        <v>61</v>
      </c>
      <c r="J9">
        <f>2200-500</f>
        <v>1700</v>
      </c>
    </row>
    <row r="10" spans="1:10" x14ac:dyDescent="0.2">
      <c r="A10" s="1" t="s">
        <v>0</v>
      </c>
      <c r="B10" s="2">
        <v>45171</v>
      </c>
      <c r="C10" s="1" t="s">
        <v>1</v>
      </c>
      <c r="D10" s="1" t="s">
        <v>2</v>
      </c>
      <c r="E10" s="1">
        <v>22</v>
      </c>
      <c r="F10" s="1">
        <v>9</v>
      </c>
      <c r="G10" s="1" t="s">
        <v>3</v>
      </c>
      <c r="H10" s="3" t="s">
        <v>49</v>
      </c>
      <c r="I10">
        <v>58.5</v>
      </c>
      <c r="J10">
        <f>1200-500</f>
        <v>700</v>
      </c>
    </row>
    <row r="11" spans="1:10" x14ac:dyDescent="0.2">
      <c r="A11" s="1" t="s">
        <v>0</v>
      </c>
      <c r="B11" s="2">
        <v>45083</v>
      </c>
      <c r="C11" s="1" t="s">
        <v>1</v>
      </c>
      <c r="D11" s="1" t="s">
        <v>2</v>
      </c>
      <c r="E11" s="1">
        <v>7</v>
      </c>
      <c r="F11" s="1">
        <v>10</v>
      </c>
      <c r="G11" s="1" t="s">
        <v>3</v>
      </c>
      <c r="H11" s="3" t="s">
        <v>8</v>
      </c>
      <c r="I11">
        <v>66</v>
      </c>
      <c r="J11" t="s">
        <v>75</v>
      </c>
    </row>
    <row r="12" spans="1:10" x14ac:dyDescent="0.2">
      <c r="A12" s="1" t="s">
        <v>0</v>
      </c>
      <c r="B12" s="2">
        <v>45112</v>
      </c>
      <c r="C12" s="1" t="s">
        <v>1</v>
      </c>
      <c r="D12" s="1" t="s">
        <v>2</v>
      </c>
      <c r="E12" s="1">
        <v>36</v>
      </c>
      <c r="F12" s="1">
        <v>10</v>
      </c>
      <c r="G12" s="1" t="s">
        <v>3</v>
      </c>
      <c r="H12" s="3" t="s">
        <v>30</v>
      </c>
      <c r="I12">
        <v>55</v>
      </c>
      <c r="J12">
        <f>1750-500</f>
        <v>1250</v>
      </c>
    </row>
    <row r="13" spans="1:10" x14ac:dyDescent="0.2">
      <c r="A13" s="1" t="s">
        <v>0</v>
      </c>
      <c r="B13" s="2">
        <v>45143</v>
      </c>
      <c r="C13" s="1" t="s">
        <v>1</v>
      </c>
      <c r="D13" s="1" t="s">
        <v>2</v>
      </c>
      <c r="E13" s="1">
        <v>50</v>
      </c>
      <c r="F13" s="1">
        <v>10</v>
      </c>
      <c r="G13" s="1" t="s">
        <v>3</v>
      </c>
      <c r="H13" s="3" t="s">
        <v>44</v>
      </c>
      <c r="I13">
        <v>55</v>
      </c>
      <c r="J13">
        <f>1850-500</f>
        <v>1350</v>
      </c>
    </row>
    <row r="14" spans="1:10" x14ac:dyDescent="0.2">
      <c r="A14" s="1" t="s">
        <v>0</v>
      </c>
      <c r="B14" s="2">
        <v>45101</v>
      </c>
      <c r="C14" s="1" t="s">
        <v>1</v>
      </c>
      <c r="D14" s="1" t="s">
        <v>2</v>
      </c>
      <c r="E14" s="1">
        <v>15</v>
      </c>
      <c r="F14" s="1">
        <v>12</v>
      </c>
      <c r="G14" s="1" t="s">
        <v>3</v>
      </c>
      <c r="H14" s="3" t="s">
        <v>16</v>
      </c>
      <c r="I14">
        <v>63</v>
      </c>
      <c r="J14">
        <f>2250-500</f>
        <v>1750</v>
      </c>
    </row>
    <row r="15" spans="1:10" x14ac:dyDescent="0.2">
      <c r="A15" s="1" t="s">
        <v>0</v>
      </c>
      <c r="B15" s="2">
        <v>45144</v>
      </c>
      <c r="C15" s="1" t="s">
        <v>1</v>
      </c>
      <c r="D15" s="1" t="s">
        <v>2</v>
      </c>
      <c r="E15" s="1">
        <v>52</v>
      </c>
      <c r="F15" s="1">
        <v>12</v>
      </c>
      <c r="G15" s="1" t="s">
        <v>3</v>
      </c>
      <c r="H15" s="3" t="s">
        <v>46</v>
      </c>
      <c r="I15">
        <v>66</v>
      </c>
      <c r="J15" t="s">
        <v>75</v>
      </c>
    </row>
    <row r="16" spans="1:10" x14ac:dyDescent="0.2">
      <c r="A16" s="1" t="s">
        <v>0</v>
      </c>
      <c r="B16" s="2">
        <v>45109</v>
      </c>
      <c r="C16" s="1" t="s">
        <v>1</v>
      </c>
      <c r="D16" s="1" t="s">
        <v>2</v>
      </c>
      <c r="E16" s="1">
        <v>32</v>
      </c>
      <c r="F16" s="1">
        <v>13</v>
      </c>
      <c r="G16" s="1" t="s">
        <v>3</v>
      </c>
      <c r="H16" s="3" t="s">
        <v>26</v>
      </c>
      <c r="I16">
        <v>61.5</v>
      </c>
      <c r="J16">
        <f>1950-500</f>
        <v>1450</v>
      </c>
    </row>
    <row r="17" spans="1:10" x14ac:dyDescent="0.2">
      <c r="A17" s="1" t="s">
        <v>0</v>
      </c>
      <c r="B17" s="2">
        <v>45111</v>
      </c>
      <c r="C17" s="1" t="s">
        <v>1</v>
      </c>
      <c r="D17" s="1" t="s">
        <v>2</v>
      </c>
      <c r="E17" s="1">
        <v>34</v>
      </c>
      <c r="F17" s="1">
        <v>13</v>
      </c>
      <c r="G17" s="1" t="s">
        <v>3</v>
      </c>
      <c r="H17" s="3" t="s">
        <v>28</v>
      </c>
      <c r="I17">
        <v>61.5</v>
      </c>
      <c r="J17">
        <f>2000-500</f>
        <v>1500</v>
      </c>
    </row>
    <row r="18" spans="1:10" x14ac:dyDescent="0.2">
      <c r="A18" s="1" t="s">
        <v>0</v>
      </c>
      <c r="B18" s="2">
        <v>45083</v>
      </c>
      <c r="C18" s="1" t="s">
        <v>1</v>
      </c>
      <c r="D18" s="1" t="s">
        <v>2</v>
      </c>
      <c r="E18" s="1">
        <v>9</v>
      </c>
      <c r="F18" s="1">
        <v>14</v>
      </c>
      <c r="G18" s="1" t="s">
        <v>3</v>
      </c>
      <c r="H18" s="3" t="s">
        <v>10</v>
      </c>
      <c r="I18">
        <v>65</v>
      </c>
      <c r="J18">
        <f>2100-500</f>
        <v>1600</v>
      </c>
    </row>
    <row r="19" spans="1:10" x14ac:dyDescent="0.2">
      <c r="A19" s="1" t="s">
        <v>0</v>
      </c>
      <c r="B19" s="2">
        <v>45100</v>
      </c>
      <c r="C19" s="1" t="s">
        <v>1</v>
      </c>
      <c r="D19" s="1" t="s">
        <v>2</v>
      </c>
      <c r="E19" s="1">
        <v>10</v>
      </c>
      <c r="F19" s="1">
        <v>15</v>
      </c>
      <c r="G19" s="1" t="s">
        <v>3</v>
      </c>
      <c r="H19" s="3" t="s">
        <v>11</v>
      </c>
      <c r="I19">
        <v>64</v>
      </c>
      <c r="J19">
        <v>1500</v>
      </c>
    </row>
    <row r="20" spans="1:10" x14ac:dyDescent="0.2">
      <c r="A20" s="1" t="s">
        <v>0</v>
      </c>
      <c r="B20" s="2">
        <v>45100</v>
      </c>
      <c r="C20" s="1" t="s">
        <v>1</v>
      </c>
      <c r="D20" s="1" t="s">
        <v>2</v>
      </c>
      <c r="E20" s="1">
        <v>11</v>
      </c>
      <c r="F20" s="1">
        <v>15</v>
      </c>
      <c r="G20" s="1" t="s">
        <v>3</v>
      </c>
      <c r="H20" s="3" t="s">
        <v>12</v>
      </c>
      <c r="I20">
        <v>62.5</v>
      </c>
      <c r="J20">
        <f>1850-500</f>
        <v>1350</v>
      </c>
    </row>
    <row r="21" spans="1:10" x14ac:dyDescent="0.2">
      <c r="A21" s="1" t="s">
        <v>0</v>
      </c>
      <c r="B21" s="2">
        <v>45101</v>
      </c>
      <c r="C21" s="1" t="s">
        <v>1</v>
      </c>
      <c r="D21" s="1" t="s">
        <v>2</v>
      </c>
      <c r="E21" s="1">
        <v>12</v>
      </c>
      <c r="F21" s="1">
        <v>15</v>
      </c>
      <c r="G21" s="1" t="s">
        <v>3</v>
      </c>
      <c r="H21" s="3" t="s">
        <v>13</v>
      </c>
      <c r="I21">
        <v>89</v>
      </c>
      <c r="J21">
        <v>4000</v>
      </c>
    </row>
    <row r="22" spans="1:10" x14ac:dyDescent="0.2">
      <c r="A22" s="1" t="s">
        <v>0</v>
      </c>
      <c r="B22" s="2">
        <v>45101</v>
      </c>
      <c r="C22" s="1" t="s">
        <v>1</v>
      </c>
      <c r="D22" s="1" t="s">
        <v>2</v>
      </c>
      <c r="E22" s="1">
        <v>13</v>
      </c>
      <c r="F22" s="1">
        <v>15</v>
      </c>
      <c r="G22" s="1" t="s">
        <v>3</v>
      </c>
      <c r="H22" s="3" t="s">
        <v>14</v>
      </c>
      <c r="I22">
        <v>76</v>
      </c>
      <c r="J22">
        <f>3150-500</f>
        <v>2650</v>
      </c>
    </row>
    <row r="23" spans="1:10" x14ac:dyDescent="0.2">
      <c r="A23" s="1" t="s">
        <v>0</v>
      </c>
      <c r="B23" s="2">
        <v>45101</v>
      </c>
      <c r="C23" s="1" t="s">
        <v>1</v>
      </c>
      <c r="D23" s="1" t="s">
        <v>2</v>
      </c>
      <c r="E23" s="1">
        <v>14</v>
      </c>
      <c r="F23" s="1">
        <v>15</v>
      </c>
      <c r="G23" s="1" t="s">
        <v>3</v>
      </c>
      <c r="H23" s="3" t="s">
        <v>15</v>
      </c>
      <c r="I23">
        <v>53</v>
      </c>
      <c r="J23">
        <f>1550-500</f>
        <v>1050</v>
      </c>
    </row>
    <row r="24" spans="1:10" x14ac:dyDescent="0.2">
      <c r="A24" s="1" t="s">
        <v>0</v>
      </c>
      <c r="B24" s="2">
        <v>45102</v>
      </c>
      <c r="C24" s="1" t="s">
        <v>1</v>
      </c>
      <c r="D24" s="1" t="s">
        <v>2</v>
      </c>
      <c r="E24" s="1">
        <v>20</v>
      </c>
      <c r="F24" s="1">
        <v>15</v>
      </c>
      <c r="G24" s="1" t="s">
        <v>3</v>
      </c>
      <c r="H24" s="3" t="s">
        <v>20</v>
      </c>
      <c r="I24">
        <v>72</v>
      </c>
      <c r="J24">
        <v>2700</v>
      </c>
    </row>
    <row r="25" spans="1:10" x14ac:dyDescent="0.2">
      <c r="A25" s="1" t="s">
        <v>0</v>
      </c>
      <c r="B25" s="2">
        <v>45142</v>
      </c>
      <c r="C25" s="1" t="s">
        <v>1</v>
      </c>
      <c r="D25" s="1" t="s">
        <v>2</v>
      </c>
      <c r="E25" s="1">
        <v>45</v>
      </c>
      <c r="F25" s="1">
        <v>15</v>
      </c>
      <c r="G25" s="1" t="s">
        <v>3</v>
      </c>
      <c r="H25" s="3" t="s">
        <v>39</v>
      </c>
      <c r="I25">
        <v>81</v>
      </c>
      <c r="J25">
        <f>3150-500</f>
        <v>2650</v>
      </c>
    </row>
    <row r="26" spans="1:10" x14ac:dyDescent="0.2">
      <c r="A26" s="1" t="s">
        <v>0</v>
      </c>
      <c r="B26" s="2">
        <v>45142</v>
      </c>
      <c r="C26" s="1" t="s">
        <v>1</v>
      </c>
      <c r="D26" s="1" t="s">
        <v>2</v>
      </c>
      <c r="E26" s="1">
        <v>49</v>
      </c>
      <c r="F26" s="1">
        <v>15</v>
      </c>
      <c r="G26" s="1" t="s">
        <v>3</v>
      </c>
      <c r="H26" s="3" t="s">
        <v>43</v>
      </c>
      <c r="I26">
        <v>60.5</v>
      </c>
      <c r="J26">
        <f>1700-500</f>
        <v>1200</v>
      </c>
    </row>
    <row r="27" spans="1:10" x14ac:dyDescent="0.2">
      <c r="A27" s="1" t="s">
        <v>0</v>
      </c>
      <c r="B27" s="2">
        <v>45143</v>
      </c>
      <c r="C27" s="1" t="s">
        <v>1</v>
      </c>
      <c r="D27" s="1" t="s">
        <v>2</v>
      </c>
      <c r="E27" s="1">
        <v>51</v>
      </c>
      <c r="F27" s="1">
        <v>15</v>
      </c>
      <c r="G27" s="1" t="s">
        <v>3</v>
      </c>
      <c r="H27" s="3" t="s">
        <v>45</v>
      </c>
      <c r="I27">
        <v>65</v>
      </c>
      <c r="J27">
        <f>2350-500</f>
        <v>1850</v>
      </c>
    </row>
    <row r="28" spans="1:10" x14ac:dyDescent="0.2">
      <c r="A28" s="1" t="s">
        <v>0</v>
      </c>
      <c r="B28" s="2">
        <v>45158</v>
      </c>
      <c r="C28" s="1" t="s">
        <v>1</v>
      </c>
      <c r="D28" s="1" t="s">
        <v>2</v>
      </c>
      <c r="E28" s="1">
        <v>54</v>
      </c>
      <c r="F28" s="1">
        <v>15</v>
      </c>
      <c r="G28" s="1" t="s">
        <v>3</v>
      </c>
      <c r="H28" s="3" t="s">
        <v>48</v>
      </c>
      <c r="I28" t="s">
        <v>75</v>
      </c>
      <c r="J28">
        <v>1450</v>
      </c>
    </row>
    <row r="29" spans="1:10" x14ac:dyDescent="0.2">
      <c r="A29" s="1" t="s">
        <v>0</v>
      </c>
      <c r="B29" s="2">
        <v>45073</v>
      </c>
      <c r="C29" s="1" t="s">
        <v>1</v>
      </c>
      <c r="D29" s="1" t="s">
        <v>2</v>
      </c>
      <c r="E29" s="1">
        <v>5</v>
      </c>
      <c r="F29" s="1">
        <v>16</v>
      </c>
      <c r="G29" s="1" t="s">
        <v>3</v>
      </c>
      <c r="H29" s="3" t="s">
        <v>6</v>
      </c>
      <c r="I29">
        <v>85.5</v>
      </c>
      <c r="J29">
        <v>4600</v>
      </c>
    </row>
    <row r="30" spans="1:10" x14ac:dyDescent="0.2">
      <c r="A30" s="1" t="s">
        <v>0</v>
      </c>
      <c r="B30" s="2">
        <v>45101</v>
      </c>
      <c r="C30" s="1" t="s">
        <v>1</v>
      </c>
      <c r="D30" s="1" t="s">
        <v>2</v>
      </c>
      <c r="E30" s="1">
        <v>16</v>
      </c>
      <c r="F30" s="1">
        <v>16</v>
      </c>
      <c r="G30" s="1" t="s">
        <v>3</v>
      </c>
      <c r="H30" s="3" t="s">
        <v>17</v>
      </c>
      <c r="I30" t="s">
        <v>75</v>
      </c>
      <c r="J30" t="s">
        <v>75</v>
      </c>
    </row>
    <row r="31" spans="1:10" x14ac:dyDescent="0.2">
      <c r="A31" s="1" t="s">
        <v>0</v>
      </c>
      <c r="B31" s="2">
        <v>45102</v>
      </c>
      <c r="C31" s="1" t="s">
        <v>1</v>
      </c>
      <c r="D31" s="1" t="s">
        <v>2</v>
      </c>
      <c r="E31" s="1">
        <v>19</v>
      </c>
      <c r="F31" s="1">
        <v>16</v>
      </c>
      <c r="G31" s="1" t="s">
        <v>3</v>
      </c>
      <c r="H31" s="3" t="s">
        <v>19</v>
      </c>
      <c r="I31">
        <v>58</v>
      </c>
      <c r="J31">
        <f>1500-500</f>
        <v>1000</v>
      </c>
    </row>
    <row r="32" spans="1:10" x14ac:dyDescent="0.2">
      <c r="A32" s="1" t="s">
        <v>0</v>
      </c>
      <c r="B32" s="2">
        <v>45102</v>
      </c>
      <c r="C32" s="1" t="s">
        <v>1</v>
      </c>
      <c r="D32" s="1" t="s">
        <v>2</v>
      </c>
      <c r="E32" s="1">
        <v>22</v>
      </c>
      <c r="F32" s="1">
        <v>16</v>
      </c>
      <c r="G32" s="1" t="s">
        <v>3</v>
      </c>
      <c r="H32" s="3" t="s">
        <v>22</v>
      </c>
      <c r="I32">
        <v>56</v>
      </c>
      <c r="J32">
        <v>1220</v>
      </c>
    </row>
    <row r="33" spans="1:10" x14ac:dyDescent="0.2">
      <c r="A33" s="1" t="s">
        <v>0</v>
      </c>
      <c r="B33" s="2">
        <v>45112</v>
      </c>
      <c r="C33" s="1" t="s">
        <v>1</v>
      </c>
      <c r="D33" s="1" t="s">
        <v>2</v>
      </c>
      <c r="E33" s="1">
        <v>35</v>
      </c>
      <c r="F33" s="1">
        <v>16</v>
      </c>
      <c r="G33" s="1" t="s">
        <v>3</v>
      </c>
      <c r="H33" s="3" t="s">
        <v>29</v>
      </c>
      <c r="I33">
        <v>57.5</v>
      </c>
      <c r="J33">
        <f>1850-500</f>
        <v>1350</v>
      </c>
    </row>
    <row r="34" spans="1:10" x14ac:dyDescent="0.2">
      <c r="A34" s="1" t="s">
        <v>0</v>
      </c>
      <c r="B34" s="2">
        <v>45140</v>
      </c>
      <c r="C34" s="1" t="s">
        <v>1</v>
      </c>
      <c r="D34" s="1" t="s">
        <v>2</v>
      </c>
      <c r="E34" s="1">
        <v>40</v>
      </c>
      <c r="F34" s="1">
        <v>16</v>
      </c>
      <c r="G34" s="1" t="s">
        <v>3</v>
      </c>
      <c r="H34" s="3" t="s">
        <v>34</v>
      </c>
      <c r="I34">
        <v>65</v>
      </c>
      <c r="J34">
        <f>2350-500</f>
        <v>1850</v>
      </c>
    </row>
    <row r="35" spans="1:10" x14ac:dyDescent="0.2">
      <c r="A35" s="1" t="s">
        <v>0</v>
      </c>
      <c r="B35" s="2">
        <v>45139</v>
      </c>
      <c r="C35" s="1" t="s">
        <v>1</v>
      </c>
      <c r="D35" s="1" t="s">
        <v>2</v>
      </c>
      <c r="E35" s="1">
        <v>42</v>
      </c>
      <c r="F35" s="1">
        <v>16</v>
      </c>
      <c r="G35" s="1" t="s">
        <v>3</v>
      </c>
      <c r="H35" s="3" t="s">
        <v>36</v>
      </c>
      <c r="I35">
        <v>92</v>
      </c>
      <c r="J35">
        <f>4300-500</f>
        <v>3800</v>
      </c>
    </row>
    <row r="36" spans="1:10" x14ac:dyDescent="0.2">
      <c r="A36" s="1" t="s">
        <v>0</v>
      </c>
      <c r="B36" s="2">
        <v>45142</v>
      </c>
      <c r="C36" s="1" t="s">
        <v>1</v>
      </c>
      <c r="D36" s="1" t="s">
        <v>2</v>
      </c>
      <c r="E36" s="1">
        <v>44</v>
      </c>
      <c r="F36" s="1">
        <v>16</v>
      </c>
      <c r="G36" s="1" t="s">
        <v>3</v>
      </c>
      <c r="H36" s="3" t="s">
        <v>38</v>
      </c>
      <c r="I36">
        <v>95</v>
      </c>
      <c r="J36">
        <f>3400-500</f>
        <v>2900</v>
      </c>
    </row>
    <row r="37" spans="1:10" x14ac:dyDescent="0.2">
      <c r="A37" s="1" t="s">
        <v>0</v>
      </c>
      <c r="B37" s="2">
        <v>45154</v>
      </c>
      <c r="C37" s="1" t="s">
        <v>1</v>
      </c>
      <c r="D37" s="1" t="s">
        <v>2</v>
      </c>
      <c r="E37" s="1">
        <v>53</v>
      </c>
      <c r="F37" s="1">
        <v>16</v>
      </c>
      <c r="G37" s="1" t="s">
        <v>3</v>
      </c>
      <c r="H37" s="3" t="s">
        <v>47</v>
      </c>
      <c r="I37">
        <v>65</v>
      </c>
      <c r="J37" t="s">
        <v>75</v>
      </c>
    </row>
    <row r="38" spans="1:10" x14ac:dyDescent="0.2">
      <c r="A38" s="1" t="s">
        <v>0</v>
      </c>
      <c r="B38" s="2">
        <v>45073</v>
      </c>
      <c r="C38" s="1" t="s">
        <v>1</v>
      </c>
      <c r="D38" s="1" t="s">
        <v>2</v>
      </c>
      <c r="E38" s="1">
        <v>4</v>
      </c>
      <c r="F38" s="1">
        <v>17</v>
      </c>
      <c r="G38" s="1" t="s">
        <v>3</v>
      </c>
      <c r="H38" s="3" t="s">
        <v>5</v>
      </c>
      <c r="I38">
        <v>62.5</v>
      </c>
      <c r="J38">
        <f>2200-500</f>
        <v>1700</v>
      </c>
    </row>
    <row r="39" spans="1:10" x14ac:dyDescent="0.2">
      <c r="A39" s="11" t="s">
        <v>0</v>
      </c>
      <c r="B39" s="12">
        <v>45102</v>
      </c>
      <c r="C39" s="11" t="s">
        <v>1</v>
      </c>
      <c r="D39" s="11" t="s">
        <v>2</v>
      </c>
      <c r="E39" s="11">
        <v>21</v>
      </c>
      <c r="F39" s="11">
        <v>17</v>
      </c>
      <c r="G39" s="11" t="s">
        <v>3</v>
      </c>
      <c r="H39" s="13" t="s">
        <v>21</v>
      </c>
      <c r="I39">
        <v>66</v>
      </c>
      <c r="J39">
        <v>1870</v>
      </c>
    </row>
    <row r="40" spans="1:10" x14ac:dyDescent="0.2">
      <c r="A40" s="1" t="s">
        <v>0</v>
      </c>
      <c r="B40" s="2">
        <v>45108</v>
      </c>
      <c r="C40" s="1" t="s">
        <v>1</v>
      </c>
      <c r="D40" s="1" t="s">
        <v>2</v>
      </c>
      <c r="E40" s="1">
        <v>30</v>
      </c>
      <c r="F40" s="1">
        <v>17</v>
      </c>
      <c r="G40" s="1" t="s">
        <v>3</v>
      </c>
      <c r="H40" s="3" t="s">
        <v>24</v>
      </c>
      <c r="I40">
        <v>65</v>
      </c>
      <c r="J40" t="s">
        <v>75</v>
      </c>
    </row>
    <row r="41" spans="1:10" x14ac:dyDescent="0.2">
      <c r="A41" s="1" t="s">
        <v>0</v>
      </c>
      <c r="B41" s="2">
        <v>45108</v>
      </c>
      <c r="C41" s="1" t="s">
        <v>1</v>
      </c>
      <c r="D41" s="1" t="s">
        <v>2</v>
      </c>
      <c r="E41" s="1">
        <v>31</v>
      </c>
      <c r="F41" s="1">
        <v>17</v>
      </c>
      <c r="G41" s="1" t="s">
        <v>3</v>
      </c>
      <c r="H41" s="3" t="s">
        <v>25</v>
      </c>
      <c r="I41">
        <v>60</v>
      </c>
      <c r="J41" t="s">
        <v>75</v>
      </c>
    </row>
    <row r="42" spans="1:10" x14ac:dyDescent="0.2">
      <c r="A42" s="11" t="s">
        <v>0</v>
      </c>
      <c r="B42" s="12">
        <v>45130</v>
      </c>
      <c r="C42" s="11" t="s">
        <v>1</v>
      </c>
      <c r="D42" s="11" t="s">
        <v>2</v>
      </c>
      <c r="E42" s="11">
        <v>37</v>
      </c>
      <c r="F42" s="11">
        <v>17</v>
      </c>
      <c r="G42" s="11" t="s">
        <v>3</v>
      </c>
      <c r="H42" s="13" t="s">
        <v>31</v>
      </c>
      <c r="I42">
        <v>79</v>
      </c>
      <c r="J42">
        <f>3350-500</f>
        <v>2850</v>
      </c>
    </row>
    <row r="43" spans="1:10" x14ac:dyDescent="0.2">
      <c r="A43" s="11" t="s">
        <v>0</v>
      </c>
      <c r="B43" s="12">
        <v>45130</v>
      </c>
      <c r="C43" s="11" t="s">
        <v>1</v>
      </c>
      <c r="D43" s="11" t="s">
        <v>2</v>
      </c>
      <c r="E43" s="11">
        <v>38</v>
      </c>
      <c r="F43" s="11">
        <v>17</v>
      </c>
      <c r="G43" s="11" t="s">
        <v>3</v>
      </c>
      <c r="H43" s="13" t="s">
        <v>32</v>
      </c>
      <c r="I43">
        <v>87</v>
      </c>
      <c r="J43">
        <f>4100-500</f>
        <v>3600</v>
      </c>
    </row>
    <row r="44" spans="1:10" x14ac:dyDescent="0.2">
      <c r="A44" s="1" t="s">
        <v>0</v>
      </c>
      <c r="B44" s="2">
        <v>45142</v>
      </c>
      <c r="C44" s="1" t="s">
        <v>1</v>
      </c>
      <c r="D44" s="1" t="s">
        <v>2</v>
      </c>
      <c r="E44" s="1">
        <v>46</v>
      </c>
      <c r="F44" s="1">
        <v>17</v>
      </c>
      <c r="G44" s="1" t="s">
        <v>3</v>
      </c>
      <c r="H44" s="3" t="s">
        <v>40</v>
      </c>
      <c r="I44">
        <v>94</v>
      </c>
      <c r="J44">
        <f>6300-500</f>
        <v>5800</v>
      </c>
    </row>
    <row r="45" spans="1:10" x14ac:dyDescent="0.2">
      <c r="A45" s="11" t="s">
        <v>0</v>
      </c>
      <c r="B45" s="12">
        <v>45142</v>
      </c>
      <c r="C45" s="11" t="s">
        <v>1</v>
      </c>
      <c r="D45" s="11" t="s">
        <v>2</v>
      </c>
      <c r="E45" s="11">
        <v>48</v>
      </c>
      <c r="F45" s="11">
        <v>17</v>
      </c>
      <c r="G45" s="11" t="s">
        <v>3</v>
      </c>
      <c r="H45" s="13" t="s">
        <v>42</v>
      </c>
      <c r="I45">
        <v>88</v>
      </c>
      <c r="J45">
        <f>3950-500</f>
        <v>3450</v>
      </c>
    </row>
    <row r="46" spans="1:10" x14ac:dyDescent="0.2">
      <c r="A46" s="11" t="s">
        <v>0</v>
      </c>
      <c r="B46" s="12">
        <v>45091</v>
      </c>
      <c r="C46" s="11" t="s">
        <v>1</v>
      </c>
      <c r="D46" s="11" t="s">
        <v>2</v>
      </c>
      <c r="E46" s="11">
        <v>7403</v>
      </c>
      <c r="F46" s="11">
        <v>17</v>
      </c>
      <c r="G46" s="11" t="s">
        <v>3</v>
      </c>
      <c r="H46" s="13" t="s">
        <v>50</v>
      </c>
      <c r="I46">
        <v>89.8</v>
      </c>
      <c r="J46">
        <v>5300</v>
      </c>
    </row>
    <row r="47" spans="1:10" x14ac:dyDescent="0.2">
      <c r="A47" s="1" t="s">
        <v>0</v>
      </c>
      <c r="B47" s="2">
        <v>45109</v>
      </c>
      <c r="C47" s="1" t="s">
        <v>1</v>
      </c>
      <c r="D47" s="1" t="s">
        <v>2</v>
      </c>
      <c r="E47" s="1">
        <v>33</v>
      </c>
      <c r="F47" s="1">
        <v>19</v>
      </c>
      <c r="G47" s="1" t="s">
        <v>3</v>
      </c>
      <c r="H47" s="3" t="s">
        <v>27</v>
      </c>
      <c r="I47">
        <v>95</v>
      </c>
      <c r="J47">
        <f>5800-500</f>
        <v>5300</v>
      </c>
    </row>
    <row r="48" spans="1:10" x14ac:dyDescent="0.2">
      <c r="A48" s="4" t="s">
        <v>0</v>
      </c>
      <c r="B48" s="5">
        <v>45140</v>
      </c>
      <c r="C48" s="4" t="s">
        <v>1</v>
      </c>
      <c r="D48" s="4" t="s">
        <v>2</v>
      </c>
      <c r="E48" s="4">
        <v>41</v>
      </c>
      <c r="F48" s="4">
        <v>19</v>
      </c>
      <c r="G48" s="4" t="s">
        <v>3</v>
      </c>
      <c r="H48" s="6" t="s">
        <v>35</v>
      </c>
      <c r="I48">
        <v>84.5</v>
      </c>
      <c r="J48">
        <f>4450-500</f>
        <v>3950</v>
      </c>
    </row>
    <row r="49" spans="1:10" x14ac:dyDescent="0.2">
      <c r="A49" s="11" t="s">
        <v>59</v>
      </c>
      <c r="B49" s="12">
        <v>44777</v>
      </c>
      <c r="C49" s="11" t="s">
        <v>1</v>
      </c>
      <c r="D49" s="11" t="s">
        <v>60</v>
      </c>
      <c r="E49" s="11">
        <v>7479</v>
      </c>
      <c r="F49" s="11">
        <v>5</v>
      </c>
      <c r="G49" s="11" t="s">
        <v>3</v>
      </c>
      <c r="H49" s="13" t="s">
        <v>72</v>
      </c>
      <c r="I49">
        <v>43</v>
      </c>
      <c r="J49">
        <f>1000-650</f>
        <v>350</v>
      </c>
    </row>
    <row r="50" spans="1:10" x14ac:dyDescent="0.2">
      <c r="A50" s="11" t="s">
        <v>59</v>
      </c>
      <c r="B50" s="12">
        <v>44434</v>
      </c>
      <c r="C50" s="11" t="s">
        <v>1</v>
      </c>
      <c r="D50" s="11" t="s">
        <v>60</v>
      </c>
      <c r="E50" s="11">
        <v>2</v>
      </c>
      <c r="F50" s="11">
        <v>7</v>
      </c>
      <c r="G50" s="11" t="s">
        <v>3</v>
      </c>
      <c r="H50" s="13" t="s">
        <v>69</v>
      </c>
      <c r="I50" s="14">
        <v>47.5</v>
      </c>
      <c r="J50" s="14">
        <v>800</v>
      </c>
    </row>
    <row r="51" spans="1:10" x14ac:dyDescent="0.2">
      <c r="A51" s="4" t="s">
        <v>59</v>
      </c>
      <c r="B51" s="5">
        <v>42588</v>
      </c>
      <c r="C51" s="4" t="s">
        <v>1</v>
      </c>
      <c r="D51" s="4" t="s">
        <v>60</v>
      </c>
      <c r="E51" s="4" t="s">
        <v>61</v>
      </c>
      <c r="F51" s="4">
        <v>9</v>
      </c>
      <c r="G51" s="4" t="s">
        <v>3</v>
      </c>
      <c r="H51" s="6" t="s">
        <v>62</v>
      </c>
      <c r="I51">
        <v>64.400000000000006</v>
      </c>
      <c r="J51">
        <v>1550</v>
      </c>
    </row>
    <row r="52" spans="1:10" x14ac:dyDescent="0.2">
      <c r="A52" s="7" t="s">
        <v>59</v>
      </c>
      <c r="B52" s="8">
        <v>42590</v>
      </c>
      <c r="C52" s="7" t="s">
        <v>1</v>
      </c>
      <c r="D52" s="7" t="s">
        <v>60</v>
      </c>
      <c r="E52" s="9">
        <v>2016</v>
      </c>
      <c r="F52" s="7">
        <v>9</v>
      </c>
      <c r="G52" s="7" t="s">
        <v>3</v>
      </c>
      <c r="H52" s="10" t="s">
        <v>67</v>
      </c>
      <c r="I52">
        <v>53.3</v>
      </c>
      <c r="J52">
        <v>900</v>
      </c>
    </row>
    <row r="53" spans="1:10" x14ac:dyDescent="0.2">
      <c r="A53" s="1" t="s">
        <v>59</v>
      </c>
      <c r="B53" s="2">
        <v>42588</v>
      </c>
      <c r="C53" s="1" t="s">
        <v>1</v>
      </c>
      <c r="D53" s="1" t="s">
        <v>60</v>
      </c>
      <c r="E53" s="1" t="s">
        <v>63</v>
      </c>
      <c r="F53" s="1">
        <v>10</v>
      </c>
      <c r="G53" s="1" t="s">
        <v>3</v>
      </c>
      <c r="H53" s="3" t="s">
        <v>64</v>
      </c>
      <c r="I53">
        <v>45</v>
      </c>
      <c r="J53">
        <v>500</v>
      </c>
    </row>
    <row r="54" spans="1:10" x14ac:dyDescent="0.2">
      <c r="A54" s="4" t="s">
        <v>59</v>
      </c>
      <c r="B54" s="5">
        <v>42590</v>
      </c>
      <c r="C54" s="4" t="s">
        <v>1</v>
      </c>
      <c r="D54" s="4" t="s">
        <v>60</v>
      </c>
      <c r="E54" s="4" t="s">
        <v>65</v>
      </c>
      <c r="F54" s="4">
        <v>12</v>
      </c>
      <c r="G54" s="4" t="s">
        <v>3</v>
      </c>
      <c r="H54" s="6" t="s">
        <v>66</v>
      </c>
      <c r="I54">
        <v>67.900000000000006</v>
      </c>
      <c r="J54">
        <v>2050</v>
      </c>
    </row>
    <row r="55" spans="1:10" x14ac:dyDescent="0.2">
      <c r="A55" s="1" t="s">
        <v>59</v>
      </c>
      <c r="B55" s="2">
        <v>44434</v>
      </c>
      <c r="C55" s="1" t="s">
        <v>1</v>
      </c>
      <c r="D55" s="1" t="s">
        <v>60</v>
      </c>
      <c r="E55" s="1">
        <v>1</v>
      </c>
      <c r="F55" s="1">
        <v>12</v>
      </c>
      <c r="G55" s="1" t="s">
        <v>3</v>
      </c>
      <c r="H55" s="3" t="s">
        <v>68</v>
      </c>
      <c r="I55" s="14">
        <v>56</v>
      </c>
      <c r="J55" s="14">
        <v>1000</v>
      </c>
    </row>
    <row r="56" spans="1:10" x14ac:dyDescent="0.2">
      <c r="A56" s="1" t="s">
        <v>59</v>
      </c>
      <c r="B56" s="2">
        <v>44777</v>
      </c>
      <c r="C56" s="1" t="s">
        <v>1</v>
      </c>
      <c r="D56" s="1" t="s">
        <v>60</v>
      </c>
      <c r="E56" s="1">
        <v>7366</v>
      </c>
      <c r="F56" s="1">
        <v>14</v>
      </c>
      <c r="G56" s="1" t="s">
        <v>3</v>
      </c>
      <c r="H56" s="3" t="s">
        <v>70</v>
      </c>
      <c r="I56">
        <v>65.5</v>
      </c>
      <c r="J56">
        <f>1750-650</f>
        <v>1100</v>
      </c>
    </row>
    <row r="57" spans="1:10" x14ac:dyDescent="0.2">
      <c r="A57" s="4" t="s">
        <v>59</v>
      </c>
      <c r="B57" s="5">
        <v>44777</v>
      </c>
      <c r="C57" s="4" t="s">
        <v>1</v>
      </c>
      <c r="D57" s="4" t="s">
        <v>60</v>
      </c>
      <c r="E57" s="4">
        <v>7368</v>
      </c>
      <c r="F57" s="4">
        <v>15</v>
      </c>
      <c r="G57" s="4" t="s">
        <v>3</v>
      </c>
      <c r="H57" s="6" t="s">
        <v>71</v>
      </c>
      <c r="I57">
        <v>66</v>
      </c>
      <c r="J57">
        <f>2000-650</f>
        <v>1350</v>
      </c>
    </row>
    <row r="59" spans="1:10" x14ac:dyDescent="0.2">
      <c r="B59" s="15"/>
      <c r="C59" s="15"/>
      <c r="D59" s="15"/>
      <c r="E59" s="15"/>
    </row>
    <row r="60" spans="1:10" x14ac:dyDescent="0.2">
      <c r="B60" s="15"/>
      <c r="C60" s="15"/>
      <c r="D60" s="15"/>
      <c r="E60" s="15"/>
    </row>
    <row r="61" spans="1:10" x14ac:dyDescent="0.2">
      <c r="B61" s="15"/>
      <c r="C61" s="15"/>
      <c r="D61" s="15"/>
      <c r="E61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2024-04-09T17:04:31Z</dcterms:created>
  <dcterms:modified xsi:type="dcterms:W3CDTF">2024-04-10T03:41:04Z</dcterms:modified>
</cp:coreProperties>
</file>