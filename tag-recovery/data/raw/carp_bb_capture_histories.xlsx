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92E58389-B93E-E54B-A16F-A2F626A63CB6}" xr6:coauthVersionLast="47" xr6:coauthVersionMax="47" xr10:uidLastSave="{00000000-0000-0000-0000-000000000000}"/>
  <bookViews>
    <workbookView xWindow="2880" yWindow="500" windowWidth="22000" windowHeight="16400" xr2:uid="{9C103607-E7EF-F942-A60A-5B8D707B2DBE}"/>
  </bookViews>
  <sheets>
    <sheet name="carp_bb_capture_hist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J52" i="1"/>
  <c r="J63" i="1"/>
  <c r="J19" i="1"/>
  <c r="J100" i="1"/>
  <c r="J35" i="1"/>
  <c r="J23" i="1"/>
  <c r="J113" i="1"/>
  <c r="J145" i="1"/>
  <c r="J127" i="1"/>
  <c r="J136" i="1"/>
  <c r="J120" i="1"/>
  <c r="J216" i="1"/>
  <c r="S17" i="1"/>
  <c r="J157" i="1"/>
  <c r="J158" i="1"/>
  <c r="J204" i="1"/>
  <c r="S16" i="1"/>
  <c r="J183" i="1"/>
  <c r="J225" i="1"/>
  <c r="J178" i="1"/>
  <c r="S15" i="1"/>
  <c r="J124" i="1"/>
  <c r="J199" i="1"/>
  <c r="J206" i="1"/>
  <c r="J116" i="1"/>
  <c r="J147" i="1"/>
  <c r="J172" i="1"/>
  <c r="J24" i="1"/>
  <c r="J46" i="1"/>
  <c r="J91" i="1"/>
  <c r="J98" i="1"/>
  <c r="J195" i="1"/>
  <c r="J141" i="1"/>
  <c r="J131" i="1"/>
  <c r="J12" i="1"/>
  <c r="J215" i="1"/>
  <c r="J125" i="1"/>
  <c r="J21" i="1"/>
  <c r="J186" i="1"/>
  <c r="J218" i="1"/>
  <c r="J214" i="1"/>
  <c r="J179" i="1"/>
  <c r="J229" i="1"/>
  <c r="J230" i="1"/>
  <c r="J134" i="1"/>
  <c r="J217" i="1"/>
  <c r="J203" i="1"/>
  <c r="J86" i="1"/>
  <c r="J193" i="1"/>
  <c r="J169" i="1"/>
  <c r="J99" i="1"/>
  <c r="J236" i="1"/>
  <c r="J211" i="1"/>
  <c r="J29" i="1"/>
  <c r="J67" i="1"/>
  <c r="J38" i="1"/>
  <c r="J150" i="1"/>
  <c r="J34" i="1"/>
  <c r="J117" i="1"/>
  <c r="J128" i="1"/>
  <c r="J224" i="1"/>
  <c r="J170" i="1"/>
  <c r="J109" i="1"/>
  <c r="S10" i="1"/>
  <c r="J135" i="1"/>
  <c r="J96" i="1"/>
  <c r="J37" i="1"/>
  <c r="J25" i="1"/>
  <c r="J144" i="1"/>
  <c r="J221" i="1"/>
  <c r="J126" i="1"/>
  <c r="J173" i="1"/>
  <c r="J139" i="1"/>
  <c r="J18" i="1"/>
  <c r="J213" i="1"/>
  <c r="J69" i="1"/>
  <c r="J202" i="1"/>
  <c r="J119" i="1"/>
  <c r="J15" i="1"/>
  <c r="J146" i="1"/>
  <c r="J60" i="1"/>
  <c r="J26" i="1"/>
  <c r="J163" i="1"/>
  <c r="J198" i="1"/>
  <c r="J228" i="1"/>
  <c r="S8" i="1"/>
  <c r="J122" i="1"/>
  <c r="J53" i="1"/>
  <c r="J207" i="1"/>
  <c r="J30" i="1"/>
  <c r="J220" i="1"/>
  <c r="J114" i="1"/>
  <c r="J40" i="1"/>
  <c r="S6" i="1"/>
  <c r="J162" i="1"/>
  <c r="J28" i="1"/>
  <c r="J36" i="1"/>
  <c r="J102" i="1"/>
  <c r="J33" i="1"/>
  <c r="J197" i="1"/>
  <c r="J42" i="1"/>
  <c r="J75" i="1"/>
  <c r="J118" i="1"/>
  <c r="J72" i="1"/>
  <c r="J8" i="1"/>
  <c r="J27" i="1"/>
  <c r="J182" i="1"/>
  <c r="J152" i="1"/>
  <c r="J80" i="1"/>
  <c r="J104" i="1"/>
  <c r="J200" i="1"/>
  <c r="J171" i="1"/>
  <c r="J137" i="1"/>
  <c r="J133" i="1"/>
  <c r="J45" i="1"/>
  <c r="J156" i="1"/>
  <c r="J168" i="1"/>
  <c r="J209" i="1"/>
  <c r="J95" i="1"/>
  <c r="J74" i="1"/>
  <c r="J89" i="1"/>
  <c r="J88" i="1"/>
  <c r="J92" i="1"/>
  <c r="J184" i="1"/>
  <c r="J165" i="1"/>
  <c r="J177" i="1"/>
  <c r="J142" i="1"/>
  <c r="J6" i="1"/>
</calcChain>
</file>

<file path=xl/sharedStrings.xml><?xml version="1.0" encoding="utf-8"?>
<sst xmlns="http://schemas.openxmlformats.org/spreadsheetml/2006/main" count="884" uniqueCount="375">
  <si>
    <t>Date tagged</t>
  </si>
  <si>
    <t>Release Time</t>
  </si>
  <si>
    <t>Trap ID</t>
  </si>
  <si>
    <t>Trap depth (m)</t>
  </si>
  <si>
    <t>Floy tag number</t>
  </si>
  <si>
    <t>Floy reward amount</t>
  </si>
  <si>
    <t>Total length (cm)</t>
  </si>
  <si>
    <t>Weight (g)</t>
  </si>
  <si>
    <t>Release location</t>
  </si>
  <si>
    <t>Notes</t>
  </si>
  <si>
    <t>CARP3-Z1-283</t>
  </si>
  <si>
    <t>NA</t>
  </si>
  <si>
    <t>CARP3-Z1-364</t>
  </si>
  <si>
    <t>CARP3-Z1-344</t>
  </si>
  <si>
    <t>CARP3-Z1-286</t>
  </si>
  <si>
    <t>CARP3-Z1-404</t>
  </si>
  <si>
    <t>CARP3-Z1-417</t>
  </si>
  <si>
    <t>CARP3-Z1-330</t>
  </si>
  <si>
    <t>CARP3-Z1-372</t>
  </si>
  <si>
    <t>CARP3-Z4-410</t>
  </si>
  <si>
    <t>CARP3-Z4-128</t>
  </si>
  <si>
    <t>CARP3-Z4-194</t>
  </si>
  <si>
    <t>CARP3-Z3-61</t>
  </si>
  <si>
    <t>CARP3-Z3-122</t>
  </si>
  <si>
    <t>CARP3-Z2-420</t>
  </si>
  <si>
    <t>CARP3-Z2-392</t>
  </si>
  <si>
    <t>CARP3-Z2-120</t>
  </si>
  <si>
    <t>CARP3-Z2-167</t>
  </si>
  <si>
    <t>CARP3-Z2-393</t>
  </si>
  <si>
    <t>CARP3-Z2-207</t>
  </si>
  <si>
    <t>Pulled up on illegal, unmarked set-line in apparently good condition (active, fighting/swimming). Released at line location</t>
  </si>
  <si>
    <t>CARP2-33</t>
  </si>
  <si>
    <t>CARP2-384</t>
  </si>
  <si>
    <t>CARP2-41</t>
  </si>
  <si>
    <t>CARP2-466</t>
  </si>
  <si>
    <t>CARP2-551</t>
  </si>
  <si>
    <t>CARP2-613</t>
  </si>
  <si>
    <t>CARP2-145</t>
  </si>
  <si>
    <t>Full of fish, had trouble swimming. Held in trap (at original location) an additional ~1.5 hours before release</t>
  </si>
  <si>
    <t>CARP2-201</t>
  </si>
  <si>
    <t>CARP2-247</t>
  </si>
  <si>
    <t>CARP2-273</t>
  </si>
  <si>
    <t>CARP2-361</t>
  </si>
  <si>
    <t>CARP2-370</t>
  </si>
  <si>
    <t>CARP2-389</t>
  </si>
  <si>
    <t>CARP2-438</t>
  </si>
  <si>
    <t>CARP2-448</t>
  </si>
  <si>
    <t>CARP2-453</t>
  </si>
  <si>
    <t>CARP2-458</t>
  </si>
  <si>
    <t>Released before remembering to measure weight</t>
  </si>
  <si>
    <t>CARP2-464</t>
  </si>
  <si>
    <t>CARP2-548</t>
  </si>
  <si>
    <t>CARP2-307</t>
  </si>
  <si>
    <t>CARP2-449</t>
  </si>
  <si>
    <t>CARP2-490</t>
  </si>
  <si>
    <t>CARP2-495</t>
  </si>
  <si>
    <t>CARP2-5</t>
  </si>
  <si>
    <t>CARP2-532</t>
  </si>
  <si>
    <t>CARP2-536</t>
  </si>
  <si>
    <t>Net caught on operculum but was dislodged (there was a hole in the net, which we then repaired) and burbot seemed ok. Tagged with no-reward</t>
  </si>
  <si>
    <t>CARP2-634</t>
  </si>
  <si>
    <t>CARP2-72</t>
  </si>
  <si>
    <t>CARP2-86</t>
  </si>
  <si>
    <t>CARP2-184</t>
  </si>
  <si>
    <t>CARP2-221</t>
  </si>
  <si>
    <t>CARP2-351</t>
  </si>
  <si>
    <t>CARP2-393</t>
  </si>
  <si>
    <t>CARP2-397</t>
  </si>
  <si>
    <t>CARP2-545</t>
  </si>
  <si>
    <t>CARP2-592</t>
  </si>
  <si>
    <t>CARP2-594</t>
  </si>
  <si>
    <t>CARP-375</t>
  </si>
  <si>
    <t>CARP-449</t>
  </si>
  <si>
    <t>CARP-71</t>
  </si>
  <si>
    <t>CARP-88</t>
  </si>
  <si>
    <t>CARP-891</t>
  </si>
  <si>
    <t>CARP-132</t>
  </si>
  <si>
    <t>CARP-249</t>
  </si>
  <si>
    <t>CARP-305</t>
  </si>
  <si>
    <t>CARP-328</t>
  </si>
  <si>
    <t>CARP-339</t>
  </si>
  <si>
    <t>bottomed-out 5kg scale</t>
  </si>
  <si>
    <t>CARP-647</t>
  </si>
  <si>
    <t>CARP-994</t>
  </si>
  <si>
    <t>CARP-12</t>
  </si>
  <si>
    <t>CARP-141</t>
  </si>
  <si>
    <t>CARP-22</t>
  </si>
  <si>
    <t>CARP-344</t>
  </si>
  <si>
    <t>CARP-371</t>
  </si>
  <si>
    <t>CARP-379</t>
  </si>
  <si>
    <t>CARP-423</t>
  </si>
  <si>
    <t>CARP-506</t>
  </si>
  <si>
    <t>CARP-564</t>
  </si>
  <si>
    <t>CARP-671</t>
  </si>
  <si>
    <t>CARP-680</t>
  </si>
  <si>
    <t>CARP-95</t>
  </si>
  <si>
    <t>CARP-192</t>
  </si>
  <si>
    <t>CARP-445</t>
  </si>
  <si>
    <t>milky left eye lens</t>
  </si>
  <si>
    <t>CARP-784</t>
  </si>
  <si>
    <t>CARP-82</t>
  </si>
  <si>
    <t>CARP-834</t>
  </si>
  <si>
    <t>CARP-855</t>
  </si>
  <si>
    <t>Retagged (first tag fell off)</t>
  </si>
  <si>
    <t>CARP-923</t>
  </si>
  <si>
    <t>CARP-963</t>
  </si>
  <si>
    <t>ID</t>
  </si>
  <si>
    <t>Recapture date</t>
  </si>
  <si>
    <t>Report date</t>
  </si>
  <si>
    <t>Fate</t>
  </si>
  <si>
    <t>Method</t>
  </si>
  <si>
    <t>Reported location</t>
  </si>
  <si>
    <t>Reported length</t>
  </si>
  <si>
    <t>Reported weight</t>
  </si>
  <si>
    <t>Photo verification Y/N</t>
  </si>
  <si>
    <t>Return/report notes</t>
  </si>
  <si>
    <t>harvested</t>
  </si>
  <si>
    <t>setline</t>
  </si>
  <si>
    <t>Birch Island - north side</t>
  </si>
  <si>
    <t>Y</t>
  </si>
  <si>
    <t>tagged in Z1, captured in Z2</t>
  </si>
  <si>
    <t>near Willow Island (Zone 3)</t>
  </si>
  <si>
    <t>link to capture location provided: https://maps.app.goo.gl/wi8fQdwGbSMGdAD56?g_st=i</t>
  </si>
  <si>
    <t>setline pulled at 9pm. capture location may have been provided in discussion w/ Nikolaus(?)</t>
  </si>
  <si>
    <t>released</t>
  </si>
  <si>
    <t xml:space="preserve">cod trap </t>
  </si>
  <si>
    <t>Recaptured by research team 1 day following initial capture/tag/release. Tagged in Z2, recaptured in Z3</t>
  </si>
  <si>
    <t>Zone</t>
  </si>
  <si>
    <t>CARP5-Z2-210</t>
  </si>
  <si>
    <t>CARP6-Z1-300</t>
  </si>
  <si>
    <t>Recaptured by research team in Zone 1 (was released in zone 2)</t>
  </si>
  <si>
    <t>CARP6-Z3-61</t>
  </si>
  <si>
    <t>Recaptured by research team in Zone 3 (was originally released in zone 4)</t>
  </si>
  <si>
    <t>65-70cm</t>
  </si>
  <si>
    <t>midway between Birch and Spirea Island, 40ft depth</t>
  </si>
  <si>
    <t>Sampled other burbot from these anglers (otoliths and lengths / weights)</t>
  </si>
  <si>
    <t>CARP4-Z2-150</t>
  </si>
  <si>
    <t>CARP4-Z2-207</t>
  </si>
  <si>
    <t>CARP4-Z2-210</t>
  </si>
  <si>
    <t>CARP4-Z2-178</t>
  </si>
  <si>
    <t>CARP4-Z2-133</t>
  </si>
  <si>
    <t>CARP4-Z2-59</t>
  </si>
  <si>
    <t>CARP4-Z2-69</t>
  </si>
  <si>
    <t>CARP4-Z2-83</t>
  </si>
  <si>
    <t>CARP4-Z2-200</t>
  </si>
  <si>
    <t>CARP4-Z2-154</t>
  </si>
  <si>
    <t>CARP4-Z3-171</t>
  </si>
  <si>
    <t>CARP4-Z3-67</t>
  </si>
  <si>
    <t>CARP4-Z3-76</t>
  </si>
  <si>
    <t>CARP4-Z3-48</t>
  </si>
  <si>
    <t>CARP4-Z3-138</t>
  </si>
  <si>
    <t>CARP4-Z4-112</t>
  </si>
  <si>
    <t>CARP4-Z4-216</t>
  </si>
  <si>
    <t>CARP4-Z4-175</t>
  </si>
  <si>
    <t>CARP4-Z4-159</t>
  </si>
  <si>
    <t>CARP4-Z4-4</t>
  </si>
  <si>
    <t>CARP4-Z1-144</t>
  </si>
  <si>
    <t>3 burbot in trap</t>
  </si>
  <si>
    <t>CARP4-Z1-201</t>
  </si>
  <si>
    <t>CARP4-Z1-85</t>
  </si>
  <si>
    <t>CARP4-Z1-179</t>
  </si>
  <si>
    <t>CARP4-Z1-100</t>
  </si>
  <si>
    <t>CARP4-Z1-21</t>
  </si>
  <si>
    <t>CARP4-Z1-68</t>
  </si>
  <si>
    <t>CARP4-Z1-52</t>
  </si>
  <si>
    <t>CARP5-Z2-150</t>
  </si>
  <si>
    <t>Recaptured by research team 1 week after release in same zone (Z2). Recapture depth 8.3m, temp 6.9C</t>
  </si>
  <si>
    <t>CARP5-Z2-70</t>
  </si>
  <si>
    <t>CARP5-Z2-27</t>
  </si>
  <si>
    <t>CARP5-Z2-167</t>
  </si>
  <si>
    <t>Recaptured by research team in Zone 2 (same zone as original capture) depth 8.5m temp 6.8C</t>
  </si>
  <si>
    <t>CARP5-Z2-98</t>
  </si>
  <si>
    <t>CARP5-Z2-69</t>
  </si>
  <si>
    <t>temp 6.7C</t>
  </si>
  <si>
    <t>temp 6.6C</t>
  </si>
  <si>
    <t>temp 5.3C</t>
  </si>
  <si>
    <t>temp 5.6C</t>
  </si>
  <si>
    <t>CARP5-Z2-120</t>
  </si>
  <si>
    <t>CARP5-Z1-184</t>
  </si>
  <si>
    <t>Recaptured by research team in same zone (Z1) as release the previous week. recap depth 6.7m, temp 8.0C</t>
  </si>
  <si>
    <t>CARP5-Z1-163</t>
  </si>
  <si>
    <t>temp 8.6C</t>
  </si>
  <si>
    <t>CARP5-Z1-198</t>
  </si>
  <si>
    <t>temp 8.5C</t>
  </si>
  <si>
    <t>CARP5-Z1-179</t>
  </si>
  <si>
    <t>temp 7.7C</t>
  </si>
  <si>
    <t>CARP5-Z1-214</t>
  </si>
  <si>
    <t>temp 5.9C</t>
  </si>
  <si>
    <t>CARP5-Z1-57</t>
  </si>
  <si>
    <t>temp 7.1C</t>
  </si>
  <si>
    <t>CARP5-Z3-209</t>
  </si>
  <si>
    <t>temp 5.0C</t>
  </si>
  <si>
    <t>CARP5-Z3-140</t>
  </si>
  <si>
    <t>CARP5-Z3-35</t>
  </si>
  <si>
    <t>temp 6.1C</t>
  </si>
  <si>
    <t>CARP5-Z3-73</t>
  </si>
  <si>
    <t>CARP5-Z3-76</t>
  </si>
  <si>
    <t>CARP5-Z3-48</t>
  </si>
  <si>
    <t>temp 8.1C</t>
  </si>
  <si>
    <t>CARP5-Z3-138</t>
  </si>
  <si>
    <t>temp 7.6C</t>
  </si>
  <si>
    <t>CARP5-Z3-96</t>
  </si>
  <si>
    <t>CARP5-Z4-146</t>
  </si>
  <si>
    <t>CARP5-Z4-141</t>
  </si>
  <si>
    <t>CARP5-Z4-109</t>
  </si>
  <si>
    <t>temp 7.0C</t>
  </si>
  <si>
    <t>CARP5-Z4-216</t>
  </si>
  <si>
    <t>Recaptured by research team almost exactly 1yr post-release! released Z3, recaptured in Z4 (adjacent zone) temp 5.8C</t>
  </si>
  <si>
    <t>CARP5-Z4-156</t>
  </si>
  <si>
    <t>temp 4.9C</t>
  </si>
  <si>
    <t>CARP5-Z4-8</t>
  </si>
  <si>
    <t>CARP5-Z4-166</t>
  </si>
  <si>
    <t>CARP5-Z4-159</t>
  </si>
  <si>
    <t>temp 5.1C</t>
  </si>
  <si>
    <t>CARP5-Z4-117</t>
  </si>
  <si>
    <t>temp 10.8C</t>
  </si>
  <si>
    <t>CARP5-Z4-33</t>
  </si>
  <si>
    <t>CARP5-Z4-220</t>
  </si>
  <si>
    <t>temp 10.5C</t>
  </si>
  <si>
    <t>CARP6-Z2-346</t>
  </si>
  <si>
    <t>CARP6-Z2-376</t>
  </si>
  <si>
    <t>CARP6-Z2-100</t>
  </si>
  <si>
    <t>CARP6-Z2-119</t>
  </si>
  <si>
    <t>CARP6-Z2-90</t>
  </si>
  <si>
    <t>CARP6-Z3-160</t>
  </si>
  <si>
    <t>CARP6-Z3-122</t>
  </si>
  <si>
    <t>CARP6-Z3-314</t>
  </si>
  <si>
    <t>CARP6-Z3-71</t>
  </si>
  <si>
    <t>CARP6-Z3-39</t>
  </si>
  <si>
    <t>CARP6-Z3-226</t>
  </si>
  <si>
    <t>CARP6-Z3-388</t>
  </si>
  <si>
    <t>CARP6-Z3-19</t>
  </si>
  <si>
    <t>CARP6-Z3-157</t>
  </si>
  <si>
    <t>CARP6-Z4-284</t>
  </si>
  <si>
    <t>CARP6-Z4-240</t>
  </si>
  <si>
    <t>CARP6-Z4-233</t>
  </si>
  <si>
    <t>CARP6-Z4-266</t>
  </si>
  <si>
    <t>CARP6-Z4-106</t>
  </si>
  <si>
    <t>CARP6-Z4-320</t>
  </si>
  <si>
    <t>CARP6-Z4-251</t>
  </si>
  <si>
    <t>CARP6-Z4-426</t>
  </si>
  <si>
    <t>CARP6-Z1-343</t>
  </si>
  <si>
    <t>CARP6-Z1-117</t>
  </si>
  <si>
    <t>CARP6-Z1-227</t>
  </si>
  <si>
    <t>CARP6-Z1-2</t>
  </si>
  <si>
    <t>CARP7-Z2-103</t>
  </si>
  <si>
    <t>temp 11.6C</t>
  </si>
  <si>
    <t>CARP7-Z2-172</t>
  </si>
  <si>
    <t>temp 9.1C</t>
  </si>
  <si>
    <t>CARP7-Z3-322</t>
  </si>
  <si>
    <t>temp 9.4C</t>
  </si>
  <si>
    <t>CARP7-Z3-27</t>
  </si>
  <si>
    <t>recaptured by research team in the same zone as release. Depth 9.8m, temp 9.4C</t>
  </si>
  <si>
    <t>CARP7-Z3-101</t>
  </si>
  <si>
    <t>temp 11.3C</t>
  </si>
  <si>
    <t>CARP7-Z3-314</t>
  </si>
  <si>
    <t>CARP7-Z3-108</t>
  </si>
  <si>
    <t>temp 7.5C</t>
  </si>
  <si>
    <t>CARP7-Z3-30</t>
  </si>
  <si>
    <t>recaptured by research team. Trap depth 10.0m, temp 7.8C. Was originally released in Z2, recaptured in Z3.</t>
  </si>
  <si>
    <t>CARP7-Z4-121</t>
  </si>
  <si>
    <t>temp 8.8C</t>
  </si>
  <si>
    <t>CARP7-Z4-189</t>
  </si>
  <si>
    <t>temp 9.5C</t>
  </si>
  <si>
    <t>CARP7-Z4-317</t>
  </si>
  <si>
    <t>temp 10.0C</t>
  </si>
  <si>
    <t>CARP7-Z4-78</t>
  </si>
  <si>
    <t>Recaptured by research team at trap depth 10.4m, temp 8.8C. Same zone as release in 2022.</t>
  </si>
  <si>
    <t>CARP7-Z4-190</t>
  </si>
  <si>
    <t>temp 9.0C</t>
  </si>
  <si>
    <t>CARP7-Z4-204</t>
  </si>
  <si>
    <t>temp 8.0C</t>
  </si>
  <si>
    <t>CARP7-Z4-216</t>
  </si>
  <si>
    <t>temp 7.8C</t>
  </si>
  <si>
    <t>CARP7-Z4-280</t>
  </si>
  <si>
    <t>temp 7.4C</t>
  </si>
  <si>
    <t>CARP7-Z4-118</t>
  </si>
  <si>
    <t>CARP7-Z1-137</t>
  </si>
  <si>
    <t>CARP7-Z1-16</t>
  </si>
  <si>
    <t>CARP7-Z1-209</t>
  </si>
  <si>
    <t>CARP7-Z1-331</t>
  </si>
  <si>
    <t>CARP7-Z1-222</t>
  </si>
  <si>
    <t>White Spruce Island</t>
  </si>
  <si>
    <t>recovered via Creel Survey</t>
  </si>
  <si>
    <t>near Black Spruce Island</t>
  </si>
  <si>
    <t>photos taken by angler during survey</t>
  </si>
  <si>
    <t>between Bert's Cabin and burnt island</t>
  </si>
  <si>
    <t>Liz tag photo</t>
  </si>
  <si>
    <t>East of Pine Island - closer to shore of lake than the shore of the island</t>
  </si>
  <si>
    <t>on file at MoF</t>
  </si>
  <si>
    <t>captured and reported via phone by angler</t>
  </si>
  <si>
    <t>200m east of Balsam Island</t>
  </si>
  <si>
    <t>captured by angler, reported by voicemail and was reached via phone later</t>
  </si>
  <si>
    <t>near Spirea Island</t>
  </si>
  <si>
    <t>photo of tag received by MoF</t>
  </si>
  <si>
    <t>reported via phone call. May have talked with angler at the creel station but they caught the fish after I'd left for the week.</t>
  </si>
  <si>
    <t>west side of Aspen Island</t>
  </si>
  <si>
    <t>photo received by email to MoF</t>
  </si>
  <si>
    <t>reported by angler via phone - left voice mail earlier</t>
  </si>
  <si>
    <t>"behind island left side halfway down lake"</t>
  </si>
  <si>
    <t>recovered via Creel Survey. Otoliths collected</t>
  </si>
  <si>
    <t>White Spruce Island - south end</t>
  </si>
  <si>
    <t>Black Spruce Island</t>
  </si>
  <si>
    <t xml:space="preserve">reported by angler during Creel Survey but the angler had already cleaned the fish - did not collect otoliths or measure fish directly </t>
  </si>
  <si>
    <t>"right off an island on steep dropoff"</t>
  </si>
  <si>
    <t>reported by angler during Creel Survey but already harvested/cleaned at island campsite - otoliths and weight not collected.</t>
  </si>
  <si>
    <t>jigging</t>
  </si>
  <si>
    <t>south of Birch Island</t>
  </si>
  <si>
    <t>image on file at MoF</t>
  </si>
  <si>
    <t>Check length at tagging date - length reported by angler does not make sense</t>
  </si>
  <si>
    <t>recaptured 1 week after tagging, same zone</t>
  </si>
  <si>
    <t>east of Black Spruce Island, 45ft depth</t>
  </si>
  <si>
    <t>image requested</t>
  </si>
  <si>
    <t>captured at about 45-foot depth</t>
  </si>
  <si>
    <t>last week of March, 2024 (exact date unknown)</t>
  </si>
  <si>
    <t>winter setline</t>
  </si>
  <si>
    <t>near Bert's Cabin</t>
  </si>
  <si>
    <t>caught two tagged burbot, released the other one. Fisher said they spend a month there every year in the winter.</t>
  </si>
  <si>
    <t>most-Eastern bay near small island</t>
  </si>
  <si>
    <t>11.5 lbs</t>
  </si>
  <si>
    <t>very large fish per angler photo</t>
  </si>
  <si>
    <t>east of Fir Island</t>
  </si>
  <si>
    <t>was asked to email ministry an image of tag number - waiting on image</t>
  </si>
  <si>
    <t>Also recaptured by research team week following tagging 5/31/23 in the same zone (Z1 - CARP5-Z1-57), depth 10.0m temp 7.1C. Set line pull time 10:00</t>
  </si>
  <si>
    <t>point off Sekani Bay (drop-off)</t>
  </si>
  <si>
    <t xml:space="preserve">angler was asked to provide image of tag number </t>
  </si>
  <si>
    <t>Aspen Island</t>
  </si>
  <si>
    <t>fisher said they caught 5 burbot over the long weekend</t>
  </si>
  <si>
    <t>Recovery method</t>
  </si>
  <si>
    <t>Phone</t>
  </si>
  <si>
    <t>live recapture</t>
  </si>
  <si>
    <t>Creel</t>
  </si>
  <si>
    <t>Carp Lake</t>
  </si>
  <si>
    <t>captured on new stat holiday (National Truth &amp; Reconciliation Day). kept head and gave otoliths to ministry</t>
  </si>
  <si>
    <t>NA - have carcass</t>
  </si>
  <si>
    <t>Email</t>
  </si>
  <si>
    <t>set line pull time 10AM. head/carcass recovered to ministry</t>
  </si>
  <si>
    <t>back side of Black Spruce Island</t>
  </si>
  <si>
    <t xml:space="preserve">larger than 24 in </t>
  </si>
  <si>
    <t>verified in person</t>
  </si>
  <si>
    <t>head recovered to ministry.</t>
  </si>
  <si>
    <t>Balsam Island</t>
  </si>
  <si>
    <t>5lb</t>
  </si>
  <si>
    <t>winter ice fishing. caught 2 burbot in March 2025</t>
  </si>
  <si>
    <t>7lb</t>
  </si>
  <si>
    <t>near cabin by Balsam Island</t>
  </si>
  <si>
    <t>photos provided</t>
  </si>
  <si>
    <t>winter ice fishing, same fisher who caught 2 burbot previously</t>
  </si>
  <si>
    <t>by Spirea Island</t>
  </si>
  <si>
    <t>8.7lb</t>
  </si>
  <si>
    <t>winter ice fishing, same fisher who caught winter burbot previously</t>
  </si>
  <si>
    <t>by Eskers Bay (off trapper cabin)</t>
  </si>
  <si>
    <t>8.5lb</t>
  </si>
  <si>
    <t>by Fir Island</t>
  </si>
  <si>
    <t>11lb</t>
  </si>
  <si>
    <t xml:space="preserve">near Willow Island  </t>
  </si>
  <si>
    <t>34 in</t>
  </si>
  <si>
    <t>8lb1oz</t>
  </si>
  <si>
    <t>separate winter fisher.</t>
  </si>
  <si>
    <t>near Willow Island</t>
  </si>
  <si>
    <t>37.75 in</t>
  </si>
  <si>
    <t>8lb14oz</t>
  </si>
  <si>
    <t>winter ice fishing, same fisher who caught #7040</t>
  </si>
  <si>
    <t>near Bert's Cabin, in the bay to the south</t>
  </si>
  <si>
    <t>30in</t>
  </si>
  <si>
    <t>6.5lb</t>
  </si>
  <si>
    <t xml:space="preserve">winter ice fishing, same fisher who caught winter burbot previously. Estimate 20-25 burbot caught this year, 7 of which were tagged. </t>
  </si>
  <si>
    <t>32 in</t>
  </si>
  <si>
    <t>same fisher reported 7328 last summer</t>
  </si>
  <si>
    <t>near Balsam Island</t>
  </si>
  <si>
    <t>caught while participating in an outdoor education course at Carp Lake.</t>
  </si>
  <si>
    <t>near Kettle Bay</t>
  </si>
  <si>
    <t>36 in</t>
  </si>
  <si>
    <t>10 lb</t>
  </si>
  <si>
    <t>line was set in 14ft-deep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</si>
</sst>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1" xfId="1"/>
    <xf numFmtId="14" fontId="1" fillId="2" borderId="1" xfId="1" applyNumberFormat="1"/>
    <xf numFmtId="0" fontId="1" fillId="3" borderId="1" xfId="1" applyFill="1"/>
    <xf numFmtId="0" fontId="0" fillId="4" borderId="0" xfId="0" applyFill="1"/>
    <xf numFmtId="14" fontId="1" fillId="5" borderId="1" xfId="1" applyNumberFormat="1" applyFill="1"/>
    <xf numFmtId="0" fontId="1" fillId="5" borderId="1" xfId="1" applyFill="1"/>
    <xf numFmtId="0" fontId="0" fillId="5" borderId="0" xfId="0" applyFill="1"/>
  </cellXfs>
  <cellStyles count="2">
    <cellStyle name="Calculation" xfId="1" builtinId="22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2324D-EB9B-F145-991E-05869A0CE909}" name="Table1" displayName="Table1" ref="A1:V237" totalsRowShown="0">
  <autoFilter ref="A1:V237" xr:uid="{B842324D-EB9B-F145-991E-05869A0CE909}"/>
  <sortState xmlns:xlrd2="http://schemas.microsoft.com/office/spreadsheetml/2017/richdata2" ref="A2:V237">
    <sortCondition ref="N1:N237"/>
  </sortState>
  <tableColumns count="22">
    <tableColumn id="1" xr3:uid="{DD39D2DD-D695-2440-AE5B-4E2FB591D475}" name="ID"/>
    <tableColumn id="2" xr3:uid="{2A14F8F5-E15E-CB46-B307-5C0F166A8BBA}" name="Floy tag number"/>
    <tableColumn id="3" xr3:uid="{79CC6932-B726-F948-8DFB-139EC995D5DB}" name="Date tagged" dataDxfId="0"/>
    <tableColumn id="4" xr3:uid="{2E25B4D0-DBD2-D64D-BA78-B404C41C8F9D}" name="Release Time"/>
    <tableColumn id="5" xr3:uid="{AEC26D1D-474C-FF44-A22D-62650F3D0EAC}" name="Trap ID"/>
    <tableColumn id="21" xr3:uid="{9DDABB65-366B-964A-B0A6-7649F527FC10}" name="Zone"/>
    <tableColumn id="6" xr3:uid="{86A11355-2CF4-664B-AF3A-E3CA04B2D30B}" name="Trap depth (m)"/>
    <tableColumn id="7" xr3:uid="{AD21E32D-0814-5246-B6B9-BD46BA1EE4D0}" name="Floy reward amount"/>
    <tableColumn id="8" xr3:uid="{9D158F8C-5315-2040-BFF6-9772D7A26290}" name="Total length (cm)"/>
    <tableColumn id="9" xr3:uid="{BB532D14-E6FF-7948-8180-49DDDBDB8236}" name="Weight (g)"/>
    <tableColumn id="10" xr3:uid="{661A70C7-1F7B-A74B-B6EB-4583BA82F4A8}" name="Release location"/>
    <tableColumn id="11" xr3:uid="{738B2230-3CC3-6348-8044-6007EDEB597D}" name="Notes"/>
    <tableColumn id="12" xr3:uid="{F4650593-71FD-0347-83B7-C8D8D1C71B5B}" name="Recapture date" dataCellStyle="Calculation"/>
    <tableColumn id="13" xr3:uid="{F703893F-E4EF-4147-9651-916D5C4F23B5}" name="Report date" dataCellStyle="Calculation"/>
    <tableColumn id="14" xr3:uid="{6591A201-BEBD-D44F-BA26-F4D3040AB9E5}" name="Fate" dataCellStyle="Calculation"/>
    <tableColumn id="15" xr3:uid="{6AACCE6F-3300-0341-A6D2-53384B008916}" name="Method" dataCellStyle="Calculation"/>
    <tableColumn id="16" xr3:uid="{891F8E61-DE5F-204B-8032-11E94308DD3C}" name="Reported location" dataCellStyle="Calculation"/>
    <tableColumn id="17" xr3:uid="{C9CF034D-9677-C744-9FBF-EC3453F2CC87}" name="Reported length" dataCellStyle="Calculation"/>
    <tableColumn id="18" xr3:uid="{BF4503DC-3739-6847-8AB5-553836303489}" name="Reported weight" dataCellStyle="Calculation"/>
    <tableColumn id="19" xr3:uid="{EAADA827-C53A-F84C-862F-DA3558B7859E}" name="Photo verification Y/N" dataCellStyle="Calculation"/>
    <tableColumn id="22" xr3:uid="{9682F649-C055-5945-9D13-127FD307AD39}" name="Recovery method" dataCellStyle="Calculation"/>
    <tableColumn id="20" xr3:uid="{905B7B87-6B83-2446-BDDF-4FADCD21F6B1}" name="Return/report notes" dataCellStyle="Calcul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54CA-46DD-584A-AC31-CE81BAB5C1E0}">
  <dimension ref="A1:W237"/>
  <sheetViews>
    <sheetView tabSelected="1" topLeftCell="M1" workbookViewId="0">
      <selection activeCell="P2" sqref="P2:P49"/>
    </sheetView>
  </sheetViews>
  <sheetFormatPr baseColWidth="10" defaultRowHeight="16" x14ac:dyDescent="0.2"/>
  <cols>
    <col min="2" max="2" width="16.83203125" customWidth="1"/>
    <col min="3" max="3" width="13.5" customWidth="1"/>
    <col min="4" max="4" width="14.6640625" customWidth="1"/>
    <col min="5" max="5" width="13.33203125" customWidth="1"/>
    <col min="7" max="7" width="15.83203125" customWidth="1"/>
    <col min="8" max="8" width="20" customWidth="1"/>
    <col min="9" max="9" width="17.6640625" customWidth="1"/>
    <col min="10" max="10" width="12.33203125" customWidth="1"/>
    <col min="11" max="11" width="17" customWidth="1"/>
    <col min="13" max="13" width="16" customWidth="1"/>
    <col min="14" max="14" width="13" customWidth="1"/>
    <col min="17" max="17" width="16.33203125" customWidth="1"/>
    <col min="18" max="18" width="10.83203125" customWidth="1"/>
    <col min="22" max="22" width="19" customWidth="1"/>
  </cols>
  <sheetData>
    <row r="1" spans="1:22" x14ac:dyDescent="0.2">
      <c r="A1" t="s">
        <v>106</v>
      </c>
      <c r="B1" t="s">
        <v>4</v>
      </c>
      <c r="C1" t="s">
        <v>0</v>
      </c>
      <c r="D1" t="s">
        <v>1</v>
      </c>
      <c r="E1" t="s">
        <v>2</v>
      </c>
      <c r="F1" t="s">
        <v>127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3" t="s">
        <v>107</v>
      </c>
      <c r="N1" s="3" t="s">
        <v>108</v>
      </c>
      <c r="O1" s="3" t="s">
        <v>109</v>
      </c>
      <c r="P1" s="3" t="s">
        <v>110</v>
      </c>
      <c r="Q1" s="3" t="s">
        <v>111</v>
      </c>
      <c r="R1" s="3" t="s">
        <v>112</v>
      </c>
      <c r="S1" s="3" t="s">
        <v>113</v>
      </c>
      <c r="T1" s="3" t="s">
        <v>114</v>
      </c>
      <c r="U1" s="3" t="s">
        <v>328</v>
      </c>
      <c r="V1" s="3" t="s">
        <v>115</v>
      </c>
    </row>
    <row r="2" spans="1:22" x14ac:dyDescent="0.2">
      <c r="A2">
        <v>16</v>
      </c>
      <c r="B2">
        <v>7043</v>
      </c>
      <c r="C2" s="1">
        <v>44713</v>
      </c>
      <c r="D2" s="2">
        <v>0.44861111111111113</v>
      </c>
      <c r="E2" t="s">
        <v>87</v>
      </c>
      <c r="F2">
        <v>3</v>
      </c>
      <c r="G2">
        <v>9.3000000000000007</v>
      </c>
      <c r="H2">
        <v>100</v>
      </c>
      <c r="I2">
        <v>66</v>
      </c>
      <c r="J2">
        <v>2250</v>
      </c>
      <c r="K2" t="s">
        <v>87</v>
      </c>
      <c r="M2" s="4">
        <v>44721</v>
      </c>
      <c r="N2" s="4">
        <v>44735</v>
      </c>
      <c r="O2" s="3" t="s">
        <v>116</v>
      </c>
      <c r="P2" s="3" t="s">
        <v>117</v>
      </c>
      <c r="Q2" s="3" t="s">
        <v>11</v>
      </c>
      <c r="R2" s="3" t="s">
        <v>11</v>
      </c>
      <c r="S2" s="3">
        <v>1350</v>
      </c>
      <c r="T2" s="3" t="s">
        <v>119</v>
      </c>
      <c r="U2" s="3" t="s">
        <v>329</v>
      </c>
      <c r="V2" s="3" t="s">
        <v>123</v>
      </c>
    </row>
    <row r="3" spans="1:22" x14ac:dyDescent="0.2">
      <c r="A3">
        <v>62</v>
      </c>
      <c r="B3">
        <v>7570</v>
      </c>
      <c r="C3" s="1">
        <v>44734</v>
      </c>
      <c r="D3" s="2">
        <v>0.49236111111111108</v>
      </c>
      <c r="E3" t="s">
        <v>61</v>
      </c>
      <c r="F3">
        <v>3</v>
      </c>
      <c r="G3">
        <v>9.4</v>
      </c>
      <c r="H3">
        <v>0</v>
      </c>
      <c r="I3">
        <v>60</v>
      </c>
      <c r="J3">
        <v>1050</v>
      </c>
      <c r="K3" t="s">
        <v>61</v>
      </c>
      <c r="M3" s="4">
        <v>44735</v>
      </c>
      <c r="N3" s="4">
        <v>44735</v>
      </c>
      <c r="O3" s="3" t="s">
        <v>124</v>
      </c>
      <c r="P3" s="3" t="s">
        <v>125</v>
      </c>
      <c r="Q3" s="3" t="s">
        <v>51</v>
      </c>
      <c r="R3" s="3">
        <v>60</v>
      </c>
      <c r="S3" s="3">
        <v>1050</v>
      </c>
      <c r="T3" s="3" t="s">
        <v>11</v>
      </c>
      <c r="U3" s="3" t="s">
        <v>330</v>
      </c>
      <c r="V3" s="3" t="s">
        <v>126</v>
      </c>
    </row>
    <row r="4" spans="1:22" x14ac:dyDescent="0.2">
      <c r="A4">
        <v>58</v>
      </c>
      <c r="B4">
        <v>7381</v>
      </c>
      <c r="C4" s="1">
        <v>44734</v>
      </c>
      <c r="D4" s="2">
        <v>0.44305555555555554</v>
      </c>
      <c r="E4" t="s">
        <v>56</v>
      </c>
      <c r="F4">
        <v>3</v>
      </c>
      <c r="G4">
        <v>6</v>
      </c>
      <c r="H4">
        <v>100</v>
      </c>
      <c r="I4">
        <v>64.5</v>
      </c>
      <c r="J4">
        <v>1650</v>
      </c>
      <c r="K4" t="s">
        <v>56</v>
      </c>
      <c r="M4" s="4">
        <v>44773</v>
      </c>
      <c r="N4" s="4">
        <v>44791</v>
      </c>
      <c r="O4" s="3" t="s">
        <v>116</v>
      </c>
      <c r="P4" s="3" t="s">
        <v>11</v>
      </c>
      <c r="Q4" s="3" t="s">
        <v>121</v>
      </c>
      <c r="R4" s="3">
        <v>71</v>
      </c>
      <c r="S4" s="3">
        <v>1800</v>
      </c>
      <c r="T4" s="3" t="s">
        <v>11</v>
      </c>
      <c r="U4" s="3" t="s">
        <v>329</v>
      </c>
      <c r="V4" s="3" t="s">
        <v>122</v>
      </c>
    </row>
    <row r="5" spans="1:22" x14ac:dyDescent="0.2">
      <c r="A5">
        <v>37</v>
      </c>
      <c r="B5">
        <v>7052</v>
      </c>
      <c r="C5" s="1">
        <v>44715</v>
      </c>
      <c r="D5" s="2">
        <v>0.42986111111111108</v>
      </c>
      <c r="E5" t="s">
        <v>74</v>
      </c>
      <c r="F5">
        <v>1</v>
      </c>
      <c r="G5">
        <v>5.7</v>
      </c>
      <c r="H5">
        <v>100</v>
      </c>
      <c r="I5">
        <v>60</v>
      </c>
      <c r="J5">
        <v>1450</v>
      </c>
      <c r="K5" t="s">
        <v>74</v>
      </c>
      <c r="M5" s="4">
        <v>45067</v>
      </c>
      <c r="N5" s="4">
        <v>45069</v>
      </c>
      <c r="O5" s="3" t="s">
        <v>116</v>
      </c>
      <c r="P5" s="3" t="s">
        <v>117</v>
      </c>
      <c r="Q5" s="3" t="s">
        <v>118</v>
      </c>
      <c r="R5" s="3" t="s">
        <v>11</v>
      </c>
      <c r="S5" s="3" t="s">
        <v>11</v>
      </c>
      <c r="T5" s="3" t="s">
        <v>119</v>
      </c>
      <c r="U5" s="3" t="s">
        <v>329</v>
      </c>
      <c r="V5" s="3" t="s">
        <v>120</v>
      </c>
    </row>
    <row r="6" spans="1:22" x14ac:dyDescent="0.2">
      <c r="A6">
        <v>116</v>
      </c>
      <c r="B6">
        <v>7314</v>
      </c>
      <c r="C6" s="1">
        <v>45070</v>
      </c>
      <c r="D6" s="2">
        <v>0.37222222222222223</v>
      </c>
      <c r="E6" t="s">
        <v>136</v>
      </c>
      <c r="F6">
        <v>2</v>
      </c>
      <c r="G6">
        <v>7.5</v>
      </c>
      <c r="H6">
        <v>100</v>
      </c>
      <c r="I6">
        <v>61</v>
      </c>
      <c r="J6">
        <f>2300-500</f>
        <v>1800</v>
      </c>
      <c r="K6" t="s">
        <v>136</v>
      </c>
      <c r="M6" s="4">
        <v>45076</v>
      </c>
      <c r="N6" s="4">
        <v>45076</v>
      </c>
      <c r="O6" s="3" t="s">
        <v>124</v>
      </c>
      <c r="P6" s="3" t="s">
        <v>125</v>
      </c>
      <c r="Q6" s="3" t="s">
        <v>165</v>
      </c>
      <c r="R6" s="3">
        <v>61</v>
      </c>
      <c r="S6" s="3">
        <f>2300-500</f>
        <v>1800</v>
      </c>
      <c r="T6" s="3" t="s">
        <v>11</v>
      </c>
      <c r="U6" s="3" t="s">
        <v>330</v>
      </c>
      <c r="V6" s="3" t="s">
        <v>166</v>
      </c>
    </row>
    <row r="7" spans="1:22" x14ac:dyDescent="0.2">
      <c r="A7">
        <v>48</v>
      </c>
      <c r="B7">
        <v>7374</v>
      </c>
      <c r="C7" s="1">
        <v>44733</v>
      </c>
      <c r="D7" s="2">
        <v>0.4597222222222222</v>
      </c>
      <c r="E7" t="s">
        <v>69</v>
      </c>
      <c r="F7">
        <v>2</v>
      </c>
      <c r="G7">
        <v>5</v>
      </c>
      <c r="H7">
        <v>100</v>
      </c>
      <c r="I7">
        <v>55</v>
      </c>
      <c r="J7">
        <v>1150</v>
      </c>
      <c r="K7" t="s">
        <v>69</v>
      </c>
      <c r="M7" s="4">
        <v>45076</v>
      </c>
      <c r="N7" s="4">
        <v>45076</v>
      </c>
      <c r="O7" s="3" t="s">
        <v>124</v>
      </c>
      <c r="P7" s="3" t="s">
        <v>125</v>
      </c>
      <c r="Q7" s="3" t="s">
        <v>128</v>
      </c>
      <c r="R7" s="3">
        <v>57</v>
      </c>
      <c r="S7" s="3">
        <v>1300</v>
      </c>
      <c r="T7" s="3" t="s">
        <v>11</v>
      </c>
      <c r="U7" s="3" t="s">
        <v>330</v>
      </c>
      <c r="V7" s="3" t="s">
        <v>170</v>
      </c>
    </row>
    <row r="8" spans="1:22" x14ac:dyDescent="0.2">
      <c r="A8">
        <v>139</v>
      </c>
      <c r="B8">
        <v>7493</v>
      </c>
      <c r="C8" s="1">
        <v>45073</v>
      </c>
      <c r="D8" s="2">
        <v>0.42291666666666666</v>
      </c>
      <c r="E8" t="s">
        <v>156</v>
      </c>
      <c r="F8">
        <v>1</v>
      </c>
      <c r="G8">
        <v>5.4</v>
      </c>
      <c r="H8">
        <v>0</v>
      </c>
      <c r="I8">
        <v>57.5</v>
      </c>
      <c r="J8">
        <f>2650-500</f>
        <v>2150</v>
      </c>
      <c r="K8" t="s">
        <v>156</v>
      </c>
      <c r="M8" s="4">
        <v>45077</v>
      </c>
      <c r="N8" s="4">
        <v>45077</v>
      </c>
      <c r="O8" s="3" t="s">
        <v>124</v>
      </c>
      <c r="P8" s="3" t="s">
        <v>125</v>
      </c>
      <c r="Q8" s="3" t="s">
        <v>178</v>
      </c>
      <c r="R8" s="3">
        <v>57.5</v>
      </c>
      <c r="S8" s="3">
        <f>2650-500</f>
        <v>2150</v>
      </c>
      <c r="T8" s="3" t="s">
        <v>11</v>
      </c>
      <c r="U8" s="3" t="s">
        <v>330</v>
      </c>
      <c r="V8" s="3" t="s">
        <v>179</v>
      </c>
    </row>
    <row r="9" spans="1:22" x14ac:dyDescent="0.2">
      <c r="A9">
        <v>99</v>
      </c>
      <c r="B9">
        <v>7403</v>
      </c>
      <c r="C9" s="1">
        <v>44860</v>
      </c>
      <c r="D9" s="2">
        <v>0.37986111111111115</v>
      </c>
      <c r="E9" t="s">
        <v>22</v>
      </c>
      <c r="F9">
        <v>3</v>
      </c>
      <c r="G9">
        <v>7</v>
      </c>
      <c r="H9">
        <v>100</v>
      </c>
      <c r="I9">
        <v>89.8</v>
      </c>
      <c r="J9">
        <v>5300</v>
      </c>
      <c r="K9" t="s">
        <v>22</v>
      </c>
      <c r="M9" s="4">
        <v>45066</v>
      </c>
      <c r="N9" s="7">
        <v>45078</v>
      </c>
      <c r="O9" s="8" t="s">
        <v>116</v>
      </c>
      <c r="P9" s="8" t="s">
        <v>117</v>
      </c>
      <c r="Q9" s="8" t="s">
        <v>318</v>
      </c>
      <c r="R9" s="8"/>
      <c r="S9" s="8" t="s">
        <v>319</v>
      </c>
      <c r="T9" s="8" t="s">
        <v>297</v>
      </c>
      <c r="U9" s="8" t="s">
        <v>329</v>
      </c>
      <c r="V9" s="8" t="s">
        <v>320</v>
      </c>
    </row>
    <row r="10" spans="1:22" x14ac:dyDescent="0.2">
      <c r="A10">
        <v>18</v>
      </c>
      <c r="B10">
        <v>7044</v>
      </c>
      <c r="C10" s="1">
        <v>44713</v>
      </c>
      <c r="D10" s="2">
        <v>0.4694444444444445</v>
      </c>
      <c r="E10" t="s">
        <v>89</v>
      </c>
      <c r="F10">
        <v>3</v>
      </c>
      <c r="G10">
        <v>7.1</v>
      </c>
      <c r="H10">
        <v>100</v>
      </c>
      <c r="I10">
        <v>68.5</v>
      </c>
      <c r="J10">
        <v>2350</v>
      </c>
      <c r="K10" t="s">
        <v>89</v>
      </c>
      <c r="M10" s="4">
        <v>45079</v>
      </c>
      <c r="N10" s="4">
        <v>45079</v>
      </c>
      <c r="O10" s="3" t="s">
        <v>124</v>
      </c>
      <c r="P10" s="3" t="s">
        <v>125</v>
      </c>
      <c r="Q10" s="3" t="s">
        <v>206</v>
      </c>
      <c r="R10" s="3">
        <v>72</v>
      </c>
      <c r="S10" s="3">
        <f>3050-500</f>
        <v>2550</v>
      </c>
      <c r="T10" s="3" t="s">
        <v>11</v>
      </c>
      <c r="U10" s="3" t="s">
        <v>330</v>
      </c>
      <c r="V10" s="3" t="s">
        <v>207</v>
      </c>
    </row>
    <row r="11" spans="1:22" x14ac:dyDescent="0.2">
      <c r="A11">
        <v>102</v>
      </c>
      <c r="B11">
        <v>7595</v>
      </c>
      <c r="C11" s="1">
        <v>44861</v>
      </c>
      <c r="D11" s="2">
        <v>0.41666666666666669</v>
      </c>
      <c r="E11" t="s">
        <v>19</v>
      </c>
      <c r="F11">
        <v>4</v>
      </c>
      <c r="G11">
        <v>9.6999999999999993</v>
      </c>
      <c r="H11">
        <v>0</v>
      </c>
      <c r="I11">
        <v>54.8</v>
      </c>
      <c r="J11">
        <v>1050</v>
      </c>
      <c r="K11" t="s">
        <v>19</v>
      </c>
      <c r="M11" s="4">
        <v>45084</v>
      </c>
      <c r="N11" s="4">
        <v>45084</v>
      </c>
      <c r="O11" s="3" t="s">
        <v>124</v>
      </c>
      <c r="P11" s="3" t="s">
        <v>125</v>
      </c>
      <c r="Q11" s="3" t="s">
        <v>131</v>
      </c>
      <c r="R11" s="3">
        <v>56</v>
      </c>
      <c r="S11" s="3">
        <v>1100</v>
      </c>
      <c r="T11" s="3" t="s">
        <v>11</v>
      </c>
      <c r="U11" s="3" t="s">
        <v>330</v>
      </c>
      <c r="V11" s="3" t="s">
        <v>132</v>
      </c>
    </row>
    <row r="12" spans="1:22" x14ac:dyDescent="0.2">
      <c r="A12">
        <v>207</v>
      </c>
      <c r="B12">
        <v>7428</v>
      </c>
      <c r="C12" s="1">
        <v>45079</v>
      </c>
      <c r="D12" s="2">
        <v>0.4513888888888889</v>
      </c>
      <c r="E12" t="s">
        <v>204</v>
      </c>
      <c r="F12">
        <v>4</v>
      </c>
      <c r="G12">
        <v>10.1</v>
      </c>
      <c r="H12">
        <v>100</v>
      </c>
      <c r="I12">
        <v>64.5</v>
      </c>
      <c r="J12">
        <f>2400-500</f>
        <v>1900</v>
      </c>
      <c r="K12" t="s">
        <v>204</v>
      </c>
      <c r="L12" t="s">
        <v>205</v>
      </c>
      <c r="M12" s="4">
        <v>45085</v>
      </c>
      <c r="N12" s="4">
        <v>45085</v>
      </c>
      <c r="O12" s="3" t="s">
        <v>124</v>
      </c>
      <c r="P12" s="3" t="s">
        <v>125</v>
      </c>
      <c r="Q12" s="3" t="s">
        <v>235</v>
      </c>
      <c r="R12" s="3" t="s">
        <v>11</v>
      </c>
      <c r="S12" s="3" t="s">
        <v>11</v>
      </c>
      <c r="T12" s="3" t="s">
        <v>11</v>
      </c>
      <c r="U12" s="3" t="s">
        <v>330</v>
      </c>
      <c r="V12" s="3" t="s">
        <v>310</v>
      </c>
    </row>
    <row r="13" spans="1:22" x14ac:dyDescent="0.2">
      <c r="A13">
        <v>63</v>
      </c>
      <c r="B13">
        <v>7568</v>
      </c>
      <c r="C13" s="1">
        <v>44734</v>
      </c>
      <c r="D13" s="2">
        <v>0.45555555555555555</v>
      </c>
      <c r="E13" t="s">
        <v>62</v>
      </c>
      <c r="F13">
        <v>3</v>
      </c>
      <c r="G13">
        <v>5</v>
      </c>
      <c r="H13">
        <v>0</v>
      </c>
      <c r="I13">
        <v>68.5</v>
      </c>
      <c r="J13">
        <v>1850</v>
      </c>
      <c r="K13" t="s">
        <v>62</v>
      </c>
      <c r="M13" s="4">
        <v>45085</v>
      </c>
      <c r="N13" s="4">
        <v>45086</v>
      </c>
      <c r="O13" s="3" t="s">
        <v>116</v>
      </c>
      <c r="P13" s="3" t="s">
        <v>117</v>
      </c>
      <c r="Q13" s="3" t="s">
        <v>134</v>
      </c>
      <c r="R13" s="3" t="s">
        <v>133</v>
      </c>
      <c r="S13" s="3" t="s">
        <v>11</v>
      </c>
      <c r="T13" s="3" t="s">
        <v>119</v>
      </c>
      <c r="U13" s="3" t="s">
        <v>329</v>
      </c>
      <c r="V13" s="3" t="s">
        <v>135</v>
      </c>
    </row>
    <row r="14" spans="1:22" x14ac:dyDescent="0.2">
      <c r="A14">
        <v>43</v>
      </c>
      <c r="B14">
        <v>7376</v>
      </c>
      <c r="C14" s="1">
        <v>44733</v>
      </c>
      <c r="D14" s="2">
        <v>0.48055555555555557</v>
      </c>
      <c r="E14" t="s">
        <v>65</v>
      </c>
      <c r="F14">
        <v>2</v>
      </c>
      <c r="G14">
        <v>8</v>
      </c>
      <c r="H14">
        <v>100</v>
      </c>
      <c r="I14">
        <v>63.5</v>
      </c>
      <c r="J14">
        <v>1750</v>
      </c>
      <c r="K14" t="s">
        <v>65</v>
      </c>
      <c r="M14" s="4">
        <v>45086</v>
      </c>
      <c r="N14" s="4">
        <v>45086</v>
      </c>
      <c r="O14" s="3" t="s">
        <v>124</v>
      </c>
      <c r="P14" s="3" t="s">
        <v>125</v>
      </c>
      <c r="Q14" s="3" t="s">
        <v>129</v>
      </c>
      <c r="R14" s="3">
        <v>67</v>
      </c>
      <c r="S14" s="3">
        <v>2000</v>
      </c>
      <c r="T14" s="3" t="s">
        <v>11</v>
      </c>
      <c r="U14" s="3" t="s">
        <v>330</v>
      </c>
      <c r="V14" s="3" t="s">
        <v>130</v>
      </c>
    </row>
    <row r="15" spans="1:22" x14ac:dyDescent="0.2">
      <c r="A15">
        <v>163</v>
      </c>
      <c r="B15">
        <v>7421</v>
      </c>
      <c r="C15" s="1">
        <v>45078</v>
      </c>
      <c r="D15" s="2">
        <v>0.3888888888888889</v>
      </c>
      <c r="E15" t="s">
        <v>190</v>
      </c>
      <c r="F15">
        <v>3</v>
      </c>
      <c r="H15">
        <v>100</v>
      </c>
      <c r="I15">
        <v>59</v>
      </c>
      <c r="J15">
        <f>1800-500</f>
        <v>1300</v>
      </c>
      <c r="K15" t="s">
        <v>190</v>
      </c>
      <c r="L15" t="s">
        <v>191</v>
      </c>
      <c r="M15" s="4">
        <v>45091</v>
      </c>
      <c r="N15" s="4">
        <v>45091</v>
      </c>
      <c r="O15" s="3" t="s">
        <v>124</v>
      </c>
      <c r="P15" s="3" t="s">
        <v>125</v>
      </c>
      <c r="Q15" s="3" t="s">
        <v>251</v>
      </c>
      <c r="R15" s="3">
        <v>58</v>
      </c>
      <c r="S15" s="3">
        <f>1750-500</f>
        <v>1250</v>
      </c>
      <c r="T15" s="3" t="s">
        <v>11</v>
      </c>
      <c r="U15" s="3" t="s">
        <v>330</v>
      </c>
      <c r="V15" s="3" t="s">
        <v>252</v>
      </c>
    </row>
    <row r="16" spans="1:22" x14ac:dyDescent="0.2">
      <c r="A16">
        <v>46</v>
      </c>
      <c r="B16">
        <v>7372</v>
      </c>
      <c r="C16" s="1">
        <v>44733</v>
      </c>
      <c r="D16" s="2">
        <v>0.3923611111111111</v>
      </c>
      <c r="E16" t="s">
        <v>67</v>
      </c>
      <c r="F16">
        <v>2</v>
      </c>
      <c r="G16">
        <v>8.3000000000000007</v>
      </c>
      <c r="H16">
        <v>100</v>
      </c>
      <c r="I16">
        <v>54.5</v>
      </c>
      <c r="J16">
        <v>1100</v>
      </c>
      <c r="K16" t="s">
        <v>67</v>
      </c>
      <c r="M16" s="4">
        <v>45091</v>
      </c>
      <c r="N16" s="4">
        <v>45091</v>
      </c>
      <c r="O16" s="3" t="s">
        <v>124</v>
      </c>
      <c r="P16" s="3" t="s">
        <v>125</v>
      </c>
      <c r="Q16" s="3" t="s">
        <v>258</v>
      </c>
      <c r="R16" s="3">
        <v>57.5</v>
      </c>
      <c r="S16" s="3">
        <f>1900-500</f>
        <v>1400</v>
      </c>
      <c r="T16" s="3" t="s">
        <v>11</v>
      </c>
      <c r="U16" s="3" t="s">
        <v>330</v>
      </c>
      <c r="V16" s="3" t="s">
        <v>259</v>
      </c>
    </row>
    <row r="17" spans="1:23" x14ac:dyDescent="0.2">
      <c r="A17">
        <v>27</v>
      </c>
      <c r="B17">
        <v>7465</v>
      </c>
      <c r="C17" s="1">
        <v>44714</v>
      </c>
      <c r="D17" s="2">
        <v>0.46666666666666662</v>
      </c>
      <c r="E17" t="s">
        <v>76</v>
      </c>
      <c r="F17">
        <v>4</v>
      </c>
      <c r="G17">
        <v>4.0999999999999996</v>
      </c>
      <c r="H17">
        <v>0</v>
      </c>
      <c r="I17">
        <v>70.5</v>
      </c>
      <c r="J17">
        <v>2850</v>
      </c>
      <c r="K17" t="s">
        <v>76</v>
      </c>
      <c r="M17" s="4">
        <v>45092</v>
      </c>
      <c r="N17" s="4">
        <v>45092</v>
      </c>
      <c r="O17" s="3" t="s">
        <v>124</v>
      </c>
      <c r="P17" s="3" t="s">
        <v>125</v>
      </c>
      <c r="Q17" s="3" t="s">
        <v>266</v>
      </c>
      <c r="R17" s="3">
        <v>76</v>
      </c>
      <c r="S17" s="3">
        <f>3700-500</f>
        <v>3200</v>
      </c>
      <c r="T17" s="3" t="s">
        <v>11</v>
      </c>
      <c r="U17" s="3" t="s">
        <v>330</v>
      </c>
      <c r="V17" s="3" t="s">
        <v>267</v>
      </c>
    </row>
    <row r="18" spans="1:23" x14ac:dyDescent="0.2">
      <c r="A18">
        <v>168</v>
      </c>
      <c r="B18">
        <v>7511</v>
      </c>
      <c r="C18" s="1">
        <v>45078</v>
      </c>
      <c r="D18" s="2">
        <v>0.4236111111111111</v>
      </c>
      <c r="E18" t="s">
        <v>196</v>
      </c>
      <c r="F18">
        <v>3</v>
      </c>
      <c r="H18">
        <v>0</v>
      </c>
      <c r="I18">
        <v>73</v>
      </c>
      <c r="J18">
        <f>3300-500</f>
        <v>2800</v>
      </c>
      <c r="K18" t="s">
        <v>196</v>
      </c>
      <c r="L18" t="s">
        <v>191</v>
      </c>
      <c r="M18" s="4">
        <v>45102</v>
      </c>
      <c r="N18" s="4">
        <v>45102</v>
      </c>
      <c r="O18" s="3" t="s">
        <v>116</v>
      </c>
      <c r="P18" s="3" t="s">
        <v>117</v>
      </c>
      <c r="Q18" s="3" t="s">
        <v>282</v>
      </c>
      <c r="R18" s="3">
        <v>75.5</v>
      </c>
      <c r="S18" s="3">
        <v>2650</v>
      </c>
      <c r="T18" s="3" t="s">
        <v>11</v>
      </c>
      <c r="U18" s="3" t="s">
        <v>331</v>
      </c>
      <c r="V18" s="3" t="s">
        <v>283</v>
      </c>
    </row>
    <row r="19" spans="1:23" x14ac:dyDescent="0.2">
      <c r="A19">
        <v>236</v>
      </c>
      <c r="B19">
        <v>7288</v>
      </c>
      <c r="C19" s="1">
        <v>45093</v>
      </c>
      <c r="D19" s="2">
        <v>0.42222222222222222</v>
      </c>
      <c r="E19" t="s">
        <v>279</v>
      </c>
      <c r="F19">
        <v>1</v>
      </c>
      <c r="G19">
        <v>9.4</v>
      </c>
      <c r="H19">
        <v>100</v>
      </c>
      <c r="I19">
        <v>61.5</v>
      </c>
      <c r="J19">
        <f>2300-500</f>
        <v>1800</v>
      </c>
      <c r="K19" t="s">
        <v>279</v>
      </c>
      <c r="M19" s="4">
        <v>45102</v>
      </c>
      <c r="N19" s="4">
        <v>45102</v>
      </c>
      <c r="O19" s="3" t="s">
        <v>116</v>
      </c>
      <c r="P19" s="3" t="s">
        <v>117</v>
      </c>
      <c r="Q19" s="3" t="s">
        <v>286</v>
      </c>
      <c r="R19" s="3">
        <v>64.5</v>
      </c>
      <c r="S19" s="3">
        <f>2200-500</f>
        <v>1700</v>
      </c>
      <c r="T19" s="3" t="s">
        <v>287</v>
      </c>
      <c r="U19" s="3" t="s">
        <v>331</v>
      </c>
      <c r="V19" s="3" t="s">
        <v>283</v>
      </c>
    </row>
    <row r="20" spans="1:23" x14ac:dyDescent="0.2">
      <c r="A20">
        <v>67</v>
      </c>
      <c r="B20">
        <v>7385</v>
      </c>
      <c r="C20" s="1">
        <v>44735</v>
      </c>
      <c r="D20" s="2">
        <v>0.41666666666666669</v>
      </c>
      <c r="E20" t="s">
        <v>37</v>
      </c>
      <c r="F20">
        <v>4</v>
      </c>
      <c r="G20">
        <v>10.1</v>
      </c>
      <c r="H20">
        <v>100</v>
      </c>
      <c r="I20">
        <v>49</v>
      </c>
      <c r="J20">
        <v>1050</v>
      </c>
      <c r="K20" t="s">
        <v>37</v>
      </c>
      <c r="L20" t="s">
        <v>38</v>
      </c>
      <c r="M20" s="4">
        <v>45108</v>
      </c>
      <c r="N20" s="4">
        <v>45108</v>
      </c>
      <c r="O20" s="3" t="s">
        <v>116</v>
      </c>
      <c r="P20" s="3" t="s">
        <v>117</v>
      </c>
      <c r="Q20" s="3" t="s">
        <v>284</v>
      </c>
      <c r="R20" s="3">
        <v>54</v>
      </c>
      <c r="S20" s="3">
        <v>1050</v>
      </c>
      <c r="T20" s="3" t="s">
        <v>285</v>
      </c>
      <c r="U20" s="3" t="s">
        <v>331</v>
      </c>
      <c r="V20" s="3" t="s">
        <v>283</v>
      </c>
    </row>
    <row r="21" spans="1:23" x14ac:dyDescent="0.2">
      <c r="A21">
        <v>204</v>
      </c>
      <c r="B21">
        <v>7532</v>
      </c>
      <c r="C21" s="1">
        <v>45084</v>
      </c>
      <c r="D21" s="2">
        <v>0.49027777777777781</v>
      </c>
      <c r="E21" t="s">
        <v>232</v>
      </c>
      <c r="F21">
        <v>3</v>
      </c>
      <c r="H21">
        <v>0</v>
      </c>
      <c r="I21">
        <v>58.5</v>
      </c>
      <c r="J21">
        <f>1900-500</f>
        <v>1400</v>
      </c>
      <c r="K21" t="s">
        <v>232</v>
      </c>
      <c r="M21" s="4">
        <v>45091</v>
      </c>
      <c r="N21" s="4">
        <v>45127</v>
      </c>
      <c r="O21" s="3" t="s">
        <v>116</v>
      </c>
      <c r="P21" s="3" t="s">
        <v>117</v>
      </c>
      <c r="Q21" s="3" t="s">
        <v>291</v>
      </c>
      <c r="R21" s="3">
        <v>59</v>
      </c>
      <c r="S21" s="3">
        <v>1250</v>
      </c>
      <c r="T21" s="3" t="s">
        <v>11</v>
      </c>
      <c r="U21" s="3" t="s">
        <v>329</v>
      </c>
      <c r="V21" s="3" t="s">
        <v>292</v>
      </c>
    </row>
    <row r="22" spans="1:23" x14ac:dyDescent="0.2">
      <c r="A22">
        <v>45</v>
      </c>
      <c r="B22">
        <v>7482</v>
      </c>
      <c r="C22" s="1">
        <v>44733</v>
      </c>
      <c r="D22" s="2">
        <v>0.3923611111111111</v>
      </c>
      <c r="E22" t="s">
        <v>67</v>
      </c>
      <c r="F22">
        <v>2</v>
      </c>
      <c r="G22">
        <v>8.3000000000000007</v>
      </c>
      <c r="H22">
        <v>0</v>
      </c>
      <c r="I22">
        <v>59</v>
      </c>
      <c r="J22">
        <v>1150</v>
      </c>
      <c r="K22" t="s">
        <v>67</v>
      </c>
      <c r="M22" s="4">
        <v>45138</v>
      </c>
      <c r="N22" s="4">
        <v>45138</v>
      </c>
      <c r="O22" s="3" t="s">
        <v>116</v>
      </c>
      <c r="P22" s="3" t="s">
        <v>117</v>
      </c>
      <c r="Q22" s="3" t="s">
        <v>304</v>
      </c>
      <c r="R22" s="3">
        <v>64</v>
      </c>
      <c r="S22" s="3" t="s">
        <v>11</v>
      </c>
      <c r="T22" s="3" t="s">
        <v>11</v>
      </c>
      <c r="U22" s="3" t="s">
        <v>331</v>
      </c>
      <c r="V22" s="3" t="s">
        <v>305</v>
      </c>
    </row>
    <row r="23" spans="1:23" x14ac:dyDescent="0.2">
      <c r="A23">
        <v>233</v>
      </c>
      <c r="B23">
        <v>7631</v>
      </c>
      <c r="C23" s="1">
        <v>45093</v>
      </c>
      <c r="D23" s="2">
        <v>0.38958333333333334</v>
      </c>
      <c r="E23" t="s">
        <v>277</v>
      </c>
      <c r="F23">
        <v>1</v>
      </c>
      <c r="G23">
        <v>9.8000000000000007</v>
      </c>
      <c r="H23">
        <v>0</v>
      </c>
      <c r="I23">
        <v>61</v>
      </c>
      <c r="J23">
        <f>2600-500</f>
        <v>2100</v>
      </c>
      <c r="K23" t="s">
        <v>277</v>
      </c>
      <c r="M23" s="4">
        <v>45139</v>
      </c>
      <c r="N23" s="4">
        <v>45139</v>
      </c>
      <c r="O23" s="3" t="s">
        <v>116</v>
      </c>
      <c r="P23" s="3" t="s">
        <v>117</v>
      </c>
      <c r="Q23" s="3" t="s">
        <v>302</v>
      </c>
      <c r="R23" s="3">
        <v>61</v>
      </c>
      <c r="S23" s="3">
        <v>2250</v>
      </c>
      <c r="T23" s="3" t="s">
        <v>11</v>
      </c>
      <c r="U23" s="3" t="s">
        <v>331</v>
      </c>
      <c r="V23" s="3" t="s">
        <v>303</v>
      </c>
    </row>
    <row r="24" spans="1:23" x14ac:dyDescent="0.2">
      <c r="A24">
        <v>214</v>
      </c>
      <c r="B24">
        <v>7277</v>
      </c>
      <c r="C24" s="1">
        <v>45086</v>
      </c>
      <c r="D24" s="2">
        <v>0.39444444444444443</v>
      </c>
      <c r="E24" t="s">
        <v>242</v>
      </c>
      <c r="F24">
        <v>1</v>
      </c>
      <c r="H24">
        <v>100</v>
      </c>
      <c r="I24">
        <v>76.5</v>
      </c>
      <c r="J24">
        <f>3550-500</f>
        <v>3050</v>
      </c>
      <c r="K24" t="s">
        <v>242</v>
      </c>
      <c r="M24" s="4">
        <v>45114</v>
      </c>
      <c r="N24" s="4">
        <v>45140</v>
      </c>
      <c r="O24" s="3" t="s">
        <v>116</v>
      </c>
      <c r="P24" s="3" t="s">
        <v>117</v>
      </c>
      <c r="Q24" s="3" t="s">
        <v>296</v>
      </c>
      <c r="R24" s="3" t="s">
        <v>11</v>
      </c>
      <c r="S24" s="3">
        <v>4050</v>
      </c>
      <c r="T24" s="3" t="s">
        <v>297</v>
      </c>
      <c r="U24" s="3" t="s">
        <v>329</v>
      </c>
      <c r="V24" s="3" t="s">
        <v>298</v>
      </c>
    </row>
    <row r="25" spans="1:23" x14ac:dyDescent="0.2">
      <c r="A25">
        <v>174</v>
      </c>
      <c r="B25">
        <v>7515</v>
      </c>
      <c r="C25" s="1">
        <v>45079</v>
      </c>
      <c r="D25" s="2">
        <v>0.4381944444444445</v>
      </c>
      <c r="E25" t="s">
        <v>202</v>
      </c>
      <c r="F25">
        <v>4</v>
      </c>
      <c r="H25">
        <v>0</v>
      </c>
      <c r="I25">
        <v>61.5</v>
      </c>
      <c r="J25">
        <f>2150-500</f>
        <v>1650</v>
      </c>
      <c r="K25" t="s">
        <v>202</v>
      </c>
      <c r="L25" t="s">
        <v>176</v>
      </c>
      <c r="M25" s="4">
        <v>45140</v>
      </c>
      <c r="N25" s="4">
        <v>45140</v>
      </c>
      <c r="O25" s="3" t="s">
        <v>116</v>
      </c>
      <c r="P25" s="3" t="s">
        <v>117</v>
      </c>
      <c r="Q25" s="3" t="s">
        <v>301</v>
      </c>
      <c r="R25" s="3">
        <v>65</v>
      </c>
      <c r="S25" s="3">
        <v>2350</v>
      </c>
      <c r="T25" s="3" t="s">
        <v>11</v>
      </c>
      <c r="U25" s="3" t="s">
        <v>331</v>
      </c>
      <c r="V25" s="3" t="s">
        <v>300</v>
      </c>
    </row>
    <row r="26" spans="1:23" x14ac:dyDescent="0.2">
      <c r="A26">
        <v>160</v>
      </c>
      <c r="B26">
        <v>7500</v>
      </c>
      <c r="C26" s="1">
        <v>45077</v>
      </c>
      <c r="D26" s="2">
        <v>0.42708333333333331</v>
      </c>
      <c r="E26" t="s">
        <v>186</v>
      </c>
      <c r="F26">
        <v>1</v>
      </c>
      <c r="G26">
        <v>10</v>
      </c>
      <c r="H26">
        <v>0</v>
      </c>
      <c r="I26">
        <v>56</v>
      </c>
      <c r="J26">
        <f>1650-500</f>
        <v>1150</v>
      </c>
      <c r="K26" t="s">
        <v>186</v>
      </c>
      <c r="L26" t="s">
        <v>187</v>
      </c>
      <c r="M26" s="4">
        <v>45141</v>
      </c>
      <c r="N26" s="4">
        <v>45141</v>
      </c>
      <c r="O26" s="3" t="s">
        <v>116</v>
      </c>
      <c r="P26" s="3" t="s">
        <v>117</v>
      </c>
      <c r="Q26" s="3" t="s">
        <v>299</v>
      </c>
      <c r="R26" s="3">
        <v>60.5</v>
      </c>
      <c r="S26" s="3">
        <v>1800</v>
      </c>
      <c r="T26" s="3" t="s">
        <v>11</v>
      </c>
      <c r="U26" s="3" t="s">
        <v>331</v>
      </c>
      <c r="V26" s="3" t="s">
        <v>300</v>
      </c>
    </row>
    <row r="27" spans="1:23" x14ac:dyDescent="0.2">
      <c r="A27">
        <v>138</v>
      </c>
      <c r="B27">
        <v>7328</v>
      </c>
      <c r="C27" s="1">
        <v>45073</v>
      </c>
      <c r="D27" s="2">
        <v>0.42152777777777778</v>
      </c>
      <c r="E27" t="s">
        <v>156</v>
      </c>
      <c r="F27">
        <v>1</v>
      </c>
      <c r="G27">
        <v>5.4</v>
      </c>
      <c r="H27">
        <v>100</v>
      </c>
      <c r="I27">
        <v>84.5</v>
      </c>
      <c r="J27">
        <f>4100-500</f>
        <v>3600</v>
      </c>
      <c r="K27" t="s">
        <v>156</v>
      </c>
      <c r="L27" t="s">
        <v>157</v>
      </c>
      <c r="M27" s="4">
        <v>45144</v>
      </c>
      <c r="N27" s="4">
        <v>45146</v>
      </c>
      <c r="O27" s="3" t="s">
        <v>116</v>
      </c>
      <c r="P27" s="3" t="s">
        <v>117</v>
      </c>
      <c r="Q27" s="3" t="s">
        <v>293</v>
      </c>
      <c r="R27" s="3">
        <v>84</v>
      </c>
      <c r="S27" s="3" t="s">
        <v>11</v>
      </c>
      <c r="T27" s="3" t="s">
        <v>294</v>
      </c>
      <c r="U27" s="3" t="s">
        <v>329</v>
      </c>
      <c r="V27" s="3" t="s">
        <v>295</v>
      </c>
    </row>
    <row r="28" spans="1:23" x14ac:dyDescent="0.2">
      <c r="A28">
        <v>148</v>
      </c>
      <c r="B28">
        <v>7334</v>
      </c>
      <c r="C28" s="1">
        <v>45073</v>
      </c>
      <c r="D28" s="2">
        <v>0.4770833333333333</v>
      </c>
      <c r="E28" t="s">
        <v>163</v>
      </c>
      <c r="F28">
        <v>1</v>
      </c>
      <c r="G28">
        <v>9.6</v>
      </c>
      <c r="H28">
        <v>100</v>
      </c>
      <c r="I28">
        <v>61</v>
      </c>
      <c r="J28">
        <f>2000-500</f>
        <v>1500</v>
      </c>
      <c r="K28" t="s">
        <v>163</v>
      </c>
      <c r="M28" s="4">
        <v>45136</v>
      </c>
      <c r="N28" s="4">
        <v>45154</v>
      </c>
      <c r="O28" s="3" t="s">
        <v>116</v>
      </c>
      <c r="P28" s="3" t="s">
        <v>117</v>
      </c>
      <c r="Q28" s="3" t="s">
        <v>288</v>
      </c>
      <c r="R28" s="3">
        <v>64</v>
      </c>
      <c r="S28" s="3">
        <v>1350</v>
      </c>
      <c r="T28" s="3" t="s">
        <v>289</v>
      </c>
      <c r="U28" s="3" t="s">
        <v>329</v>
      </c>
      <c r="V28" s="3" t="s">
        <v>290</v>
      </c>
    </row>
    <row r="29" spans="1:23" x14ac:dyDescent="0.2">
      <c r="A29">
        <v>187</v>
      </c>
      <c r="B29">
        <v>7434</v>
      </c>
      <c r="C29" s="1">
        <v>45083</v>
      </c>
      <c r="D29" s="2">
        <v>0.43194444444444446</v>
      </c>
      <c r="E29" t="s">
        <v>220</v>
      </c>
      <c r="F29">
        <v>2</v>
      </c>
      <c r="H29">
        <v>100</v>
      </c>
      <c r="I29">
        <v>69.5</v>
      </c>
      <c r="J29">
        <f>2800-500</f>
        <v>2300</v>
      </c>
      <c r="K29" t="s">
        <v>220</v>
      </c>
      <c r="M29" s="4">
        <v>45087</v>
      </c>
      <c r="N29" s="4">
        <v>45166</v>
      </c>
      <c r="O29" s="3" t="s">
        <v>116</v>
      </c>
      <c r="P29" s="3" t="s">
        <v>306</v>
      </c>
      <c r="Q29" s="3" t="s">
        <v>307</v>
      </c>
      <c r="R29" s="3">
        <v>44</v>
      </c>
      <c r="S29" s="3" t="s">
        <v>11</v>
      </c>
      <c r="T29" s="3" t="s">
        <v>308</v>
      </c>
      <c r="U29" s="3" t="s">
        <v>329</v>
      </c>
      <c r="V29" s="5" t="s">
        <v>309</v>
      </c>
    </row>
    <row r="30" spans="1:23" x14ac:dyDescent="0.2">
      <c r="A30">
        <v>153</v>
      </c>
      <c r="B30" s="6">
        <v>7506</v>
      </c>
      <c r="C30" s="1">
        <v>45076</v>
      </c>
      <c r="D30" s="2">
        <v>0.43888888888888888</v>
      </c>
      <c r="E30" t="s">
        <v>169</v>
      </c>
      <c r="F30">
        <v>2</v>
      </c>
      <c r="G30">
        <v>10</v>
      </c>
      <c r="H30">
        <v>100</v>
      </c>
      <c r="I30">
        <v>74</v>
      </c>
      <c r="J30">
        <f>3500-500</f>
        <v>3000</v>
      </c>
      <c r="K30" t="s">
        <v>169</v>
      </c>
      <c r="L30" t="s">
        <v>175</v>
      </c>
      <c r="M30" s="3" t="s">
        <v>314</v>
      </c>
      <c r="N30" s="4">
        <v>45393</v>
      </c>
      <c r="O30" s="3" t="s">
        <v>116</v>
      </c>
      <c r="P30" s="3" t="s">
        <v>315</v>
      </c>
      <c r="Q30" s="3" t="s">
        <v>316</v>
      </c>
      <c r="R30" s="3">
        <v>51</v>
      </c>
      <c r="S30" s="3">
        <v>1360</v>
      </c>
      <c r="T30" s="3" t="s">
        <v>11</v>
      </c>
      <c r="U30" s="3" t="s">
        <v>329</v>
      </c>
      <c r="V30" s="3" t="s">
        <v>317</v>
      </c>
    </row>
    <row r="31" spans="1:23" x14ac:dyDescent="0.2">
      <c r="A31">
        <v>111</v>
      </c>
      <c r="B31">
        <v>7409</v>
      </c>
      <c r="C31" s="1">
        <v>44862</v>
      </c>
      <c r="D31" s="2">
        <v>0.39930555555555558</v>
      </c>
      <c r="E31" t="s">
        <v>14</v>
      </c>
      <c r="F31">
        <v>1</v>
      </c>
      <c r="G31">
        <v>7.2</v>
      </c>
      <c r="H31">
        <v>100</v>
      </c>
      <c r="I31">
        <v>52.2</v>
      </c>
      <c r="J31">
        <v>950</v>
      </c>
      <c r="K31" t="s">
        <v>14</v>
      </c>
      <c r="M31" s="4">
        <v>45432</v>
      </c>
      <c r="N31" s="4">
        <v>45434</v>
      </c>
      <c r="O31" s="3" t="s">
        <v>116</v>
      </c>
      <c r="P31" s="3" t="s">
        <v>117</v>
      </c>
      <c r="Q31" s="3" t="s">
        <v>326</v>
      </c>
      <c r="R31" s="3">
        <v>56</v>
      </c>
      <c r="S31" s="3">
        <v>1130</v>
      </c>
      <c r="T31" s="3" t="s">
        <v>312</v>
      </c>
      <c r="U31" s="3" t="s">
        <v>329</v>
      </c>
      <c r="V31" s="3" t="s">
        <v>327</v>
      </c>
    </row>
    <row r="32" spans="1:23" x14ac:dyDescent="0.2">
      <c r="A32">
        <v>38</v>
      </c>
      <c r="B32">
        <v>7051</v>
      </c>
      <c r="C32" s="1">
        <v>44715</v>
      </c>
      <c r="D32" s="2">
        <v>0.39861111111111108</v>
      </c>
      <c r="E32" t="s">
        <v>75</v>
      </c>
      <c r="F32">
        <v>1</v>
      </c>
      <c r="G32">
        <v>6.4</v>
      </c>
      <c r="H32">
        <v>100</v>
      </c>
      <c r="I32">
        <v>77</v>
      </c>
      <c r="J32">
        <v>3750</v>
      </c>
      <c r="K32" t="s">
        <v>75</v>
      </c>
      <c r="M32" s="4">
        <v>45453</v>
      </c>
      <c r="N32" s="4">
        <v>45453</v>
      </c>
      <c r="O32" s="3" t="s">
        <v>116</v>
      </c>
      <c r="P32" s="3" t="s">
        <v>117</v>
      </c>
      <c r="Q32" s="3" t="s">
        <v>311</v>
      </c>
      <c r="R32" s="3">
        <v>84</v>
      </c>
      <c r="S32" s="3">
        <v>3850</v>
      </c>
      <c r="T32" s="3" t="s">
        <v>312</v>
      </c>
      <c r="U32" s="3" t="s">
        <v>329</v>
      </c>
      <c r="V32" s="3" t="s">
        <v>313</v>
      </c>
      <c r="W32" s="9"/>
    </row>
    <row r="33" spans="1:22" x14ac:dyDescent="0.2">
      <c r="A33">
        <v>145</v>
      </c>
      <c r="B33">
        <v>7510</v>
      </c>
      <c r="C33" s="1">
        <v>45073</v>
      </c>
      <c r="D33" s="2">
        <v>0.46458333333333335</v>
      </c>
      <c r="E33" t="s">
        <v>161</v>
      </c>
      <c r="F33">
        <v>1</v>
      </c>
      <c r="G33">
        <v>8.1999999999999993</v>
      </c>
      <c r="H33">
        <v>0</v>
      </c>
      <c r="I33">
        <v>65.5</v>
      </c>
      <c r="J33">
        <f>2250-500</f>
        <v>1750</v>
      </c>
      <c r="K33" t="s">
        <v>161</v>
      </c>
      <c r="M33" s="4">
        <v>45465</v>
      </c>
      <c r="N33" s="4">
        <v>45475</v>
      </c>
      <c r="O33" s="3" t="s">
        <v>116</v>
      </c>
      <c r="P33" s="3" t="s">
        <v>117</v>
      </c>
      <c r="Q33" s="3" t="s">
        <v>324</v>
      </c>
      <c r="R33" s="3">
        <v>68.5</v>
      </c>
      <c r="S33" s="3" t="s">
        <v>11</v>
      </c>
      <c r="T33" s="3" t="s">
        <v>325</v>
      </c>
      <c r="U33" s="3" t="s">
        <v>329</v>
      </c>
      <c r="V33" s="3" t="s">
        <v>323</v>
      </c>
    </row>
    <row r="34" spans="1:22" x14ac:dyDescent="0.2">
      <c r="A34">
        <v>183</v>
      </c>
      <c r="B34">
        <v>7432</v>
      </c>
      <c r="C34" s="1">
        <v>45079</v>
      </c>
      <c r="D34" s="2">
        <v>0.5083333333333333</v>
      </c>
      <c r="E34" t="s">
        <v>214</v>
      </c>
      <c r="F34">
        <v>4</v>
      </c>
      <c r="H34">
        <v>100</v>
      </c>
      <c r="I34">
        <v>69.5</v>
      </c>
      <c r="J34">
        <f>3000-500</f>
        <v>2500</v>
      </c>
      <c r="K34" t="s">
        <v>214</v>
      </c>
      <c r="L34" t="s">
        <v>215</v>
      </c>
      <c r="M34" s="4">
        <v>45498</v>
      </c>
      <c r="N34" s="4">
        <v>45502</v>
      </c>
      <c r="O34" s="3" t="s">
        <v>116</v>
      </c>
      <c r="P34" s="3" t="s">
        <v>117</v>
      </c>
      <c r="Q34" s="3" t="s">
        <v>321</v>
      </c>
      <c r="R34" s="3" t="s">
        <v>11</v>
      </c>
      <c r="S34" s="3" t="s">
        <v>11</v>
      </c>
      <c r="T34" s="3" t="s">
        <v>11</v>
      </c>
      <c r="U34" s="3" t="s">
        <v>329</v>
      </c>
      <c r="V34" s="3" t="s">
        <v>322</v>
      </c>
    </row>
    <row r="35" spans="1:22" x14ac:dyDescent="0.2">
      <c r="A35">
        <v>234</v>
      </c>
      <c r="B35">
        <v>7287</v>
      </c>
      <c r="C35" s="1">
        <v>45093</v>
      </c>
      <c r="D35" s="2">
        <v>0.40138888888888885</v>
      </c>
      <c r="E35" t="s">
        <v>278</v>
      </c>
      <c r="F35">
        <v>1</v>
      </c>
      <c r="G35">
        <v>9.9</v>
      </c>
      <c r="H35">
        <v>100</v>
      </c>
      <c r="I35">
        <v>58</v>
      </c>
      <c r="J35">
        <f>1900-500</f>
        <v>1400</v>
      </c>
      <c r="K35" t="s">
        <v>278</v>
      </c>
      <c r="M35" s="4">
        <v>45526</v>
      </c>
      <c r="N35" s="4">
        <v>45534</v>
      </c>
      <c r="O35" s="3" t="s">
        <v>116</v>
      </c>
      <c r="P35" s="3" t="s">
        <v>117</v>
      </c>
      <c r="Q35" s="3" t="s">
        <v>337</v>
      </c>
      <c r="R35" s="3"/>
      <c r="S35" s="3" t="s">
        <v>338</v>
      </c>
      <c r="T35" s="3" t="s">
        <v>339</v>
      </c>
      <c r="U35" s="3" t="s">
        <v>329</v>
      </c>
      <c r="V35" s="3" t="s">
        <v>340</v>
      </c>
    </row>
    <row r="36" spans="1:22" x14ac:dyDescent="0.2">
      <c r="A36">
        <v>147</v>
      </c>
      <c r="B36">
        <v>7509</v>
      </c>
      <c r="C36" s="1">
        <v>45073</v>
      </c>
      <c r="D36" s="2">
        <v>0.47152777777777777</v>
      </c>
      <c r="E36" t="s">
        <v>162</v>
      </c>
      <c r="F36">
        <v>1</v>
      </c>
      <c r="G36">
        <v>6.7</v>
      </c>
      <c r="H36">
        <v>0</v>
      </c>
      <c r="I36">
        <v>81.5</v>
      </c>
      <c r="J36">
        <f>5100-500</f>
        <v>4600</v>
      </c>
      <c r="K36" t="s">
        <v>162</v>
      </c>
      <c r="M36" s="4">
        <v>45536</v>
      </c>
      <c r="N36" s="4">
        <v>45548</v>
      </c>
      <c r="O36" s="3" t="s">
        <v>116</v>
      </c>
      <c r="P36" s="3" t="s">
        <v>117</v>
      </c>
      <c r="Q36" s="3" t="s">
        <v>302</v>
      </c>
      <c r="R36" s="3" t="s">
        <v>334</v>
      </c>
      <c r="S36" s="3">
        <v>4540</v>
      </c>
      <c r="T36" s="3" t="s">
        <v>11</v>
      </c>
      <c r="U36" s="3" t="s">
        <v>335</v>
      </c>
      <c r="V36" s="3" t="s">
        <v>336</v>
      </c>
    </row>
    <row r="37" spans="1:22" x14ac:dyDescent="0.2">
      <c r="A37">
        <v>175</v>
      </c>
      <c r="B37">
        <v>7427</v>
      </c>
      <c r="C37" s="1">
        <v>45079</v>
      </c>
      <c r="D37" s="2">
        <v>0.44027777777777777</v>
      </c>
      <c r="E37" t="s">
        <v>202</v>
      </c>
      <c r="F37">
        <v>4</v>
      </c>
      <c r="H37">
        <v>100</v>
      </c>
      <c r="I37">
        <v>60</v>
      </c>
      <c r="J37">
        <f>2150-500</f>
        <v>1650</v>
      </c>
      <c r="K37" t="s">
        <v>202</v>
      </c>
      <c r="L37" t="s">
        <v>176</v>
      </c>
      <c r="M37" s="4">
        <v>45565</v>
      </c>
      <c r="N37" s="4">
        <v>45572</v>
      </c>
      <c r="O37" s="3" t="s">
        <v>116</v>
      </c>
      <c r="P37" s="3" t="s">
        <v>117</v>
      </c>
      <c r="Q37" s="3" t="s">
        <v>332</v>
      </c>
      <c r="R37" s="3">
        <v>61</v>
      </c>
      <c r="S37" s="3">
        <v>2040</v>
      </c>
      <c r="T37" s="3" t="s">
        <v>11</v>
      </c>
      <c r="U37" s="3" t="s">
        <v>329</v>
      </c>
      <c r="V37" s="3" t="s">
        <v>333</v>
      </c>
    </row>
    <row r="38" spans="1:22" x14ac:dyDescent="0.2">
      <c r="A38">
        <v>185</v>
      </c>
      <c r="B38">
        <v>7433</v>
      </c>
      <c r="C38" s="1">
        <v>45079</v>
      </c>
      <c r="D38" s="2">
        <v>0.52361111111111114</v>
      </c>
      <c r="E38" t="s">
        <v>217</v>
      </c>
      <c r="F38">
        <v>4</v>
      </c>
      <c r="H38">
        <v>100</v>
      </c>
      <c r="I38">
        <v>65.5</v>
      </c>
      <c r="J38">
        <f>2500-500</f>
        <v>2000</v>
      </c>
      <c r="K38" t="s">
        <v>217</v>
      </c>
      <c r="L38" t="s">
        <v>218</v>
      </c>
      <c r="M38" s="4">
        <v>45725</v>
      </c>
      <c r="N38" s="4">
        <v>45733</v>
      </c>
      <c r="O38" s="3" t="s">
        <v>116</v>
      </c>
      <c r="P38" s="3" t="s">
        <v>117</v>
      </c>
      <c r="Q38" s="3" t="s">
        <v>341</v>
      </c>
      <c r="R38" s="3" t="s">
        <v>11</v>
      </c>
      <c r="S38" s="3" t="s">
        <v>342</v>
      </c>
      <c r="T38" s="3" t="s">
        <v>294</v>
      </c>
      <c r="U38" s="3" t="s">
        <v>329</v>
      </c>
      <c r="V38" s="3" t="s">
        <v>343</v>
      </c>
    </row>
    <row r="39" spans="1:22" x14ac:dyDescent="0.2">
      <c r="A39">
        <v>22</v>
      </c>
      <c r="B39">
        <v>7202</v>
      </c>
      <c r="C39" s="1">
        <v>44713</v>
      </c>
      <c r="D39" s="2">
        <v>0.40972222222222227</v>
      </c>
      <c r="E39" t="s">
        <v>92</v>
      </c>
      <c r="F39">
        <v>3</v>
      </c>
      <c r="G39">
        <v>9.9</v>
      </c>
      <c r="H39">
        <v>0</v>
      </c>
      <c r="I39">
        <v>60.5</v>
      </c>
      <c r="J39">
        <v>1450</v>
      </c>
      <c r="K39" t="s">
        <v>92</v>
      </c>
      <c r="M39" s="4">
        <v>45724</v>
      </c>
      <c r="N39" s="4">
        <v>45733</v>
      </c>
      <c r="O39" s="3" t="s">
        <v>116</v>
      </c>
      <c r="P39" s="3" t="s">
        <v>117</v>
      </c>
      <c r="Q39" s="3" t="s">
        <v>341</v>
      </c>
      <c r="R39" s="3" t="s">
        <v>11</v>
      </c>
      <c r="S39" s="3" t="s">
        <v>344</v>
      </c>
      <c r="T39" s="3" t="s">
        <v>294</v>
      </c>
      <c r="U39" s="3" t="s">
        <v>329</v>
      </c>
      <c r="V39" s="3" t="s">
        <v>343</v>
      </c>
    </row>
    <row r="40" spans="1:22" x14ac:dyDescent="0.2">
      <c r="A40">
        <v>150</v>
      </c>
      <c r="B40">
        <v>7413</v>
      </c>
      <c r="C40" s="1">
        <v>45076</v>
      </c>
      <c r="D40" s="2">
        <v>0.40138888888888885</v>
      </c>
      <c r="E40" t="s">
        <v>167</v>
      </c>
      <c r="F40">
        <v>2</v>
      </c>
      <c r="H40">
        <v>100</v>
      </c>
      <c r="I40">
        <v>83.5</v>
      </c>
      <c r="J40">
        <f>5000-500</f>
        <v>4500</v>
      </c>
      <c r="K40" t="s">
        <v>167</v>
      </c>
      <c r="M40" s="4">
        <v>45735</v>
      </c>
      <c r="N40" s="4">
        <v>45736</v>
      </c>
      <c r="O40" s="3" t="s">
        <v>116</v>
      </c>
      <c r="P40" s="3" t="s">
        <v>117</v>
      </c>
      <c r="Q40" s="3" t="s">
        <v>345</v>
      </c>
      <c r="R40" s="3" t="s">
        <v>11</v>
      </c>
      <c r="S40" s="3" t="s">
        <v>344</v>
      </c>
      <c r="T40" s="3" t="s">
        <v>346</v>
      </c>
      <c r="U40" s="3" t="s">
        <v>329</v>
      </c>
      <c r="V40" s="3" t="s">
        <v>347</v>
      </c>
    </row>
    <row r="41" spans="1:22" x14ac:dyDescent="0.2">
      <c r="A41">
        <v>5</v>
      </c>
      <c r="B41">
        <v>7034</v>
      </c>
      <c r="C41" s="1">
        <v>44712</v>
      </c>
      <c r="D41" s="2">
        <v>0.41736111111111113</v>
      </c>
      <c r="E41" t="s">
        <v>101</v>
      </c>
      <c r="F41">
        <v>2</v>
      </c>
      <c r="G41">
        <v>10.4</v>
      </c>
      <c r="H41">
        <v>100</v>
      </c>
      <c r="I41">
        <v>72.5</v>
      </c>
      <c r="J41">
        <v>2850</v>
      </c>
      <c r="K41" t="s">
        <v>101</v>
      </c>
      <c r="M41" s="4">
        <v>45739</v>
      </c>
      <c r="N41" s="4">
        <v>45740</v>
      </c>
      <c r="O41" s="3" t="s">
        <v>116</v>
      </c>
      <c r="P41" s="3" t="s">
        <v>117</v>
      </c>
      <c r="Q41" s="3" t="s">
        <v>348</v>
      </c>
      <c r="R41" s="3" t="s">
        <v>11</v>
      </c>
      <c r="S41" s="3" t="s">
        <v>349</v>
      </c>
      <c r="T41" s="3" t="s">
        <v>346</v>
      </c>
      <c r="U41" s="3" t="s">
        <v>329</v>
      </c>
      <c r="V41" s="3" t="s">
        <v>350</v>
      </c>
    </row>
    <row r="42" spans="1:22" x14ac:dyDescent="0.2">
      <c r="A42">
        <v>143</v>
      </c>
      <c r="B42">
        <v>7495</v>
      </c>
      <c r="C42" s="1">
        <v>45073</v>
      </c>
      <c r="D42" s="2">
        <v>0.43958333333333338</v>
      </c>
      <c r="E42" t="s">
        <v>159</v>
      </c>
      <c r="F42">
        <v>1</v>
      </c>
      <c r="G42">
        <v>6.1</v>
      </c>
      <c r="H42">
        <v>0</v>
      </c>
      <c r="I42">
        <v>86.5</v>
      </c>
      <c r="J42">
        <f>5500-500</f>
        <v>5000</v>
      </c>
      <c r="K42" t="s">
        <v>159</v>
      </c>
      <c r="M42" s="4">
        <v>45742</v>
      </c>
      <c r="N42" s="4">
        <v>45747</v>
      </c>
      <c r="O42" s="3" t="s">
        <v>116</v>
      </c>
      <c r="P42" s="3" t="s">
        <v>117</v>
      </c>
      <c r="Q42" s="3" t="s">
        <v>353</v>
      </c>
      <c r="R42" s="3" t="s">
        <v>11</v>
      </c>
      <c r="S42" s="3" t="s">
        <v>354</v>
      </c>
      <c r="T42" s="3" t="s">
        <v>346</v>
      </c>
      <c r="U42" s="3" t="s">
        <v>329</v>
      </c>
      <c r="V42" s="3" t="s">
        <v>350</v>
      </c>
    </row>
    <row r="43" spans="1:22" x14ac:dyDescent="0.2">
      <c r="A43">
        <v>7</v>
      </c>
      <c r="B43">
        <v>7055</v>
      </c>
      <c r="C43" s="1">
        <v>44712</v>
      </c>
      <c r="D43" s="2">
        <v>0.39097222222222222</v>
      </c>
      <c r="E43" t="s">
        <v>102</v>
      </c>
      <c r="F43">
        <v>2</v>
      </c>
      <c r="G43">
        <v>4.8</v>
      </c>
      <c r="H43">
        <v>100</v>
      </c>
      <c r="I43">
        <v>70.5</v>
      </c>
      <c r="J43">
        <v>2550</v>
      </c>
      <c r="K43" t="s">
        <v>102</v>
      </c>
      <c r="M43" s="4">
        <v>45742</v>
      </c>
      <c r="N43" s="4">
        <v>45747</v>
      </c>
      <c r="O43" s="3" t="s">
        <v>116</v>
      </c>
      <c r="P43" s="3" t="s">
        <v>117</v>
      </c>
      <c r="Q43" s="3" t="s">
        <v>351</v>
      </c>
      <c r="R43" s="3" t="s">
        <v>11</v>
      </c>
      <c r="S43" s="3" t="s">
        <v>352</v>
      </c>
      <c r="T43" s="3" t="s">
        <v>346</v>
      </c>
      <c r="U43" s="3" t="s">
        <v>329</v>
      </c>
      <c r="V43" s="3" t="s">
        <v>350</v>
      </c>
    </row>
    <row r="44" spans="1:22" x14ac:dyDescent="0.2">
      <c r="A44">
        <v>11</v>
      </c>
      <c r="B44">
        <v>7040</v>
      </c>
      <c r="C44" s="1">
        <v>44713</v>
      </c>
      <c r="D44" s="2">
        <v>0.3972222222222222</v>
      </c>
      <c r="E44" t="s">
        <v>84</v>
      </c>
      <c r="F44">
        <v>3</v>
      </c>
      <c r="G44">
        <v>8.9</v>
      </c>
      <c r="H44">
        <v>100</v>
      </c>
      <c r="I44">
        <v>71</v>
      </c>
      <c r="J44">
        <v>2600</v>
      </c>
      <c r="K44" t="s">
        <v>84</v>
      </c>
      <c r="M44" s="4">
        <v>45749</v>
      </c>
      <c r="N44" s="4">
        <v>45749</v>
      </c>
      <c r="O44" s="3" t="s">
        <v>116</v>
      </c>
      <c r="P44" s="3" t="s">
        <v>117</v>
      </c>
      <c r="Q44" s="3" t="s">
        <v>355</v>
      </c>
      <c r="R44" s="3" t="s">
        <v>356</v>
      </c>
      <c r="S44" s="3" t="s">
        <v>357</v>
      </c>
      <c r="T44" s="3" t="s">
        <v>346</v>
      </c>
      <c r="U44" s="3" t="s">
        <v>329</v>
      </c>
      <c r="V44" s="3" t="s">
        <v>358</v>
      </c>
    </row>
    <row r="45" spans="1:22" x14ac:dyDescent="0.2">
      <c r="A45">
        <v>129</v>
      </c>
      <c r="B45">
        <v>7487</v>
      </c>
      <c r="C45" s="1">
        <v>45071</v>
      </c>
      <c r="D45" s="2">
        <v>0.40625</v>
      </c>
      <c r="E45" t="s">
        <v>147</v>
      </c>
      <c r="F45">
        <v>3</v>
      </c>
      <c r="G45">
        <v>6.8</v>
      </c>
      <c r="H45">
        <v>0</v>
      </c>
      <c r="I45">
        <v>91</v>
      </c>
      <c r="J45">
        <f>4650-500</f>
        <v>4150</v>
      </c>
      <c r="K45" t="s">
        <v>147</v>
      </c>
      <c r="M45" s="4">
        <v>45751</v>
      </c>
      <c r="N45" s="4">
        <v>45751</v>
      </c>
      <c r="O45" s="3" t="s">
        <v>116</v>
      </c>
      <c r="P45" s="3" t="s">
        <v>117</v>
      </c>
      <c r="Q45" s="3" t="s">
        <v>359</v>
      </c>
      <c r="R45" s="3" t="s">
        <v>360</v>
      </c>
      <c r="S45" s="3" t="s">
        <v>361</v>
      </c>
      <c r="T45" s="3" t="s">
        <v>11</v>
      </c>
      <c r="U45" s="3" t="s">
        <v>329</v>
      </c>
      <c r="V45" s="3" t="s">
        <v>362</v>
      </c>
    </row>
    <row r="46" spans="1:22" x14ac:dyDescent="0.2">
      <c r="A46">
        <v>213</v>
      </c>
      <c r="B46">
        <v>7611</v>
      </c>
      <c r="C46" s="1">
        <v>45086</v>
      </c>
      <c r="D46" s="2">
        <v>0.38680555555555557</v>
      </c>
      <c r="E46" t="s">
        <v>241</v>
      </c>
      <c r="F46">
        <v>1</v>
      </c>
      <c r="H46">
        <v>0</v>
      </c>
      <c r="I46">
        <v>69.5</v>
      </c>
      <c r="J46">
        <f>3450-500</f>
        <v>2950</v>
      </c>
      <c r="K46" t="s">
        <v>241</v>
      </c>
      <c r="M46" s="4">
        <v>45759</v>
      </c>
      <c r="N46" s="4">
        <v>45761</v>
      </c>
      <c r="O46" s="3" t="s">
        <v>116</v>
      </c>
      <c r="P46" s="3" t="s">
        <v>117</v>
      </c>
      <c r="Q46" s="3" t="s">
        <v>363</v>
      </c>
      <c r="R46" s="3" t="s">
        <v>364</v>
      </c>
      <c r="S46" s="3" t="s">
        <v>365</v>
      </c>
      <c r="T46" s="3" t="s">
        <v>11</v>
      </c>
      <c r="U46" s="3" t="s">
        <v>329</v>
      </c>
      <c r="V46" s="3" t="s">
        <v>366</v>
      </c>
    </row>
    <row r="47" spans="1:22" x14ac:dyDescent="0.2">
      <c r="A47">
        <v>66</v>
      </c>
      <c r="B47">
        <v>7571</v>
      </c>
      <c r="C47" s="1">
        <v>44735</v>
      </c>
      <c r="D47" s="2">
        <v>0.41666666666666669</v>
      </c>
      <c r="E47" t="s">
        <v>37</v>
      </c>
      <c r="F47">
        <v>4</v>
      </c>
      <c r="G47">
        <v>10.1</v>
      </c>
      <c r="H47">
        <v>0</v>
      </c>
      <c r="I47">
        <v>67.5</v>
      </c>
      <c r="J47">
        <v>1700</v>
      </c>
      <c r="K47" t="s">
        <v>37</v>
      </c>
      <c r="M47" s="4">
        <v>45797</v>
      </c>
      <c r="N47" s="4">
        <v>45800</v>
      </c>
      <c r="O47" s="3" t="s">
        <v>116</v>
      </c>
      <c r="P47" s="3" t="s">
        <v>117</v>
      </c>
      <c r="Q47" s="3" t="s">
        <v>293</v>
      </c>
      <c r="R47" s="3" t="s">
        <v>367</v>
      </c>
      <c r="S47" s="3" t="s">
        <v>11</v>
      </c>
      <c r="T47" s="3" t="s">
        <v>11</v>
      </c>
      <c r="U47" s="3" t="s">
        <v>329</v>
      </c>
      <c r="V47" s="3" t="s">
        <v>368</v>
      </c>
    </row>
    <row r="48" spans="1:22" x14ac:dyDescent="0.2">
      <c r="A48">
        <v>44</v>
      </c>
      <c r="B48">
        <v>7483</v>
      </c>
      <c r="C48" s="1">
        <v>44733</v>
      </c>
      <c r="D48" s="2">
        <v>0.40763888888888888</v>
      </c>
      <c r="E48" t="s">
        <v>66</v>
      </c>
      <c r="F48">
        <v>2</v>
      </c>
      <c r="G48">
        <v>6.3</v>
      </c>
      <c r="H48">
        <v>0</v>
      </c>
      <c r="I48">
        <v>75.5</v>
      </c>
      <c r="J48">
        <v>3200</v>
      </c>
      <c r="K48" t="s">
        <v>66</v>
      </c>
      <c r="M48" s="4">
        <v>45805</v>
      </c>
      <c r="N48" s="4">
        <v>45807</v>
      </c>
      <c r="O48" s="3" t="s">
        <v>116</v>
      </c>
      <c r="P48" s="3" t="s">
        <v>117</v>
      </c>
      <c r="Q48" s="3" t="s">
        <v>369</v>
      </c>
      <c r="R48" s="3">
        <v>83</v>
      </c>
      <c r="S48" s="3" t="s">
        <v>11</v>
      </c>
      <c r="T48" s="3" t="s">
        <v>11</v>
      </c>
      <c r="U48" s="3" t="s">
        <v>329</v>
      </c>
      <c r="V48" s="3" t="s">
        <v>370</v>
      </c>
    </row>
    <row r="49" spans="1:22" x14ac:dyDescent="0.2">
      <c r="A49">
        <v>95</v>
      </c>
      <c r="B49">
        <v>7401</v>
      </c>
      <c r="C49" s="1">
        <v>44859</v>
      </c>
      <c r="D49" s="2">
        <v>0.41666666666666669</v>
      </c>
      <c r="E49" t="s">
        <v>26</v>
      </c>
      <c r="F49">
        <v>2</v>
      </c>
      <c r="G49">
        <v>7.7</v>
      </c>
      <c r="H49">
        <v>100</v>
      </c>
      <c r="I49">
        <v>81.2</v>
      </c>
      <c r="J49">
        <v>4100</v>
      </c>
      <c r="K49" t="s">
        <v>26</v>
      </c>
      <c r="M49" s="4">
        <v>45813</v>
      </c>
      <c r="N49" s="4">
        <v>45820</v>
      </c>
      <c r="O49" s="3" t="s">
        <v>116</v>
      </c>
      <c r="P49" s="3" t="s">
        <v>117</v>
      </c>
      <c r="Q49" s="3" t="s">
        <v>371</v>
      </c>
      <c r="R49" s="3" t="s">
        <v>372</v>
      </c>
      <c r="S49" s="3" t="s">
        <v>373</v>
      </c>
      <c r="T49" s="3" t="s">
        <v>11</v>
      </c>
      <c r="U49" s="3" t="s">
        <v>329</v>
      </c>
      <c r="V49" s="3" t="s">
        <v>374</v>
      </c>
    </row>
    <row r="50" spans="1:22" x14ac:dyDescent="0.2">
      <c r="A50">
        <v>81</v>
      </c>
      <c r="B50">
        <v>7392</v>
      </c>
      <c r="C50" s="1">
        <v>44735</v>
      </c>
      <c r="D50" s="2">
        <v>0.53541666666666665</v>
      </c>
      <c r="E50" t="s">
        <v>48</v>
      </c>
      <c r="F50">
        <v>4</v>
      </c>
      <c r="G50">
        <v>10</v>
      </c>
      <c r="H50">
        <v>100</v>
      </c>
      <c r="I50">
        <v>66</v>
      </c>
      <c r="J50" t="s">
        <v>11</v>
      </c>
      <c r="K50" t="s">
        <v>48</v>
      </c>
      <c r="L50" t="s">
        <v>49</v>
      </c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2">
      <c r="A51">
        <v>114</v>
      </c>
      <c r="B51">
        <v>7602</v>
      </c>
      <c r="C51" s="1">
        <v>44862</v>
      </c>
      <c r="D51" s="2">
        <v>0.44513888888888892</v>
      </c>
      <c r="E51" t="s">
        <v>17</v>
      </c>
      <c r="F51">
        <v>1</v>
      </c>
      <c r="G51">
        <v>10</v>
      </c>
      <c r="H51">
        <v>0</v>
      </c>
      <c r="I51">
        <v>93.7</v>
      </c>
      <c r="J51">
        <v>6300</v>
      </c>
      <c r="K51" t="s">
        <v>17</v>
      </c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2">
      <c r="A52">
        <v>238</v>
      </c>
      <c r="B52">
        <v>7289</v>
      </c>
      <c r="C52" s="1">
        <v>45093</v>
      </c>
      <c r="D52" s="2">
        <v>0.45833333333333331</v>
      </c>
      <c r="E52" t="s">
        <v>281</v>
      </c>
      <c r="F52">
        <v>1</v>
      </c>
      <c r="G52">
        <v>8.9</v>
      </c>
      <c r="H52">
        <v>100</v>
      </c>
      <c r="I52">
        <v>92</v>
      </c>
      <c r="J52">
        <f>6600-500</f>
        <v>6100</v>
      </c>
      <c r="K52" t="s">
        <v>281</v>
      </c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2">
      <c r="A53">
        <v>155</v>
      </c>
      <c r="B53">
        <v>7415</v>
      </c>
      <c r="C53" s="1">
        <v>45076</v>
      </c>
      <c r="D53" s="2">
        <v>0.5131944444444444</v>
      </c>
      <c r="E53" t="s">
        <v>172</v>
      </c>
      <c r="F53">
        <v>2</v>
      </c>
      <c r="G53">
        <v>9</v>
      </c>
      <c r="H53">
        <v>100</v>
      </c>
      <c r="I53">
        <v>90</v>
      </c>
      <c r="J53">
        <f>6500-500</f>
        <v>6000</v>
      </c>
      <c r="K53" t="s">
        <v>172</v>
      </c>
      <c r="L53" t="s">
        <v>173</v>
      </c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2">
      <c r="A54">
        <v>98</v>
      </c>
      <c r="B54">
        <v>7592</v>
      </c>
      <c r="C54" s="1">
        <v>44859</v>
      </c>
      <c r="D54" s="2">
        <v>0.5083333333333333</v>
      </c>
      <c r="E54" t="s">
        <v>29</v>
      </c>
      <c r="F54">
        <v>2</v>
      </c>
      <c r="G54">
        <v>3</v>
      </c>
      <c r="H54">
        <v>0</v>
      </c>
      <c r="I54">
        <v>93.5</v>
      </c>
      <c r="J54">
        <v>5900</v>
      </c>
      <c r="K54" t="s">
        <v>29</v>
      </c>
      <c r="L54" t="s">
        <v>30</v>
      </c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2">
      <c r="A55">
        <v>106</v>
      </c>
      <c r="B55">
        <v>7598</v>
      </c>
      <c r="C55" s="1">
        <v>44862</v>
      </c>
      <c r="D55" s="2">
        <v>0.36805555555555558</v>
      </c>
      <c r="E55" t="s">
        <v>10</v>
      </c>
      <c r="F55">
        <v>1</v>
      </c>
      <c r="G55">
        <v>3.4</v>
      </c>
      <c r="H55">
        <v>0</v>
      </c>
      <c r="I55">
        <v>92.2</v>
      </c>
      <c r="J55">
        <v>5500</v>
      </c>
      <c r="K55" t="s">
        <v>10</v>
      </c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2">
      <c r="A56">
        <v>93</v>
      </c>
      <c r="B56">
        <v>7400</v>
      </c>
      <c r="C56" s="1">
        <v>44859</v>
      </c>
      <c r="D56" s="2">
        <v>0.3979166666666667</v>
      </c>
      <c r="E56" t="s">
        <v>24</v>
      </c>
      <c r="F56">
        <v>2</v>
      </c>
      <c r="G56">
        <v>6.5</v>
      </c>
      <c r="H56">
        <v>100</v>
      </c>
      <c r="I56">
        <v>92.1</v>
      </c>
      <c r="J56">
        <v>5500</v>
      </c>
      <c r="K56" t="s">
        <v>24</v>
      </c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2">
      <c r="A57">
        <v>108</v>
      </c>
      <c r="B57">
        <v>7599</v>
      </c>
      <c r="C57" s="1">
        <v>44862</v>
      </c>
      <c r="D57" s="2">
        <v>0.39097222222222222</v>
      </c>
      <c r="E57" t="s">
        <v>13</v>
      </c>
      <c r="F57">
        <v>1</v>
      </c>
      <c r="G57">
        <v>3.3</v>
      </c>
      <c r="H57">
        <v>0</v>
      </c>
      <c r="I57">
        <v>88.2</v>
      </c>
      <c r="J57">
        <v>5300</v>
      </c>
      <c r="K57" t="s">
        <v>13</v>
      </c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2">
      <c r="A58">
        <v>90</v>
      </c>
      <c r="B58">
        <v>7586</v>
      </c>
      <c r="C58" s="1">
        <v>44736</v>
      </c>
      <c r="D58" s="2">
        <v>0.4055555555555555</v>
      </c>
      <c r="E58" t="s">
        <v>34</v>
      </c>
      <c r="F58">
        <v>1</v>
      </c>
      <c r="G58">
        <v>9.3000000000000007</v>
      </c>
      <c r="H58">
        <v>0</v>
      </c>
      <c r="I58">
        <v>91</v>
      </c>
      <c r="J58">
        <v>5050</v>
      </c>
      <c r="K58" t="s">
        <v>34</v>
      </c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2">
      <c r="A59">
        <v>31</v>
      </c>
      <c r="B59">
        <v>7050</v>
      </c>
      <c r="C59" s="1">
        <v>44714</v>
      </c>
      <c r="D59" s="2">
        <v>0.4993055555555555</v>
      </c>
      <c r="E59" t="s">
        <v>80</v>
      </c>
      <c r="F59">
        <v>4</v>
      </c>
      <c r="G59">
        <v>9.9</v>
      </c>
      <c r="H59">
        <v>100</v>
      </c>
      <c r="I59">
        <v>92</v>
      </c>
      <c r="J59">
        <v>5000</v>
      </c>
      <c r="K59" t="s">
        <v>80</v>
      </c>
      <c r="L59" t="s">
        <v>81</v>
      </c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2">
      <c r="A60">
        <v>161</v>
      </c>
      <c r="B60">
        <v>7419</v>
      </c>
      <c r="C60" s="1">
        <v>45077</v>
      </c>
      <c r="D60" s="2">
        <v>0.43888888888888888</v>
      </c>
      <c r="E60" t="s">
        <v>188</v>
      </c>
      <c r="F60">
        <v>1</v>
      </c>
      <c r="G60">
        <v>10</v>
      </c>
      <c r="H60">
        <v>100</v>
      </c>
      <c r="I60">
        <v>88.5</v>
      </c>
      <c r="J60">
        <f>5500-500</f>
        <v>5000</v>
      </c>
      <c r="K60" t="s">
        <v>188</v>
      </c>
      <c r="L60" t="s">
        <v>189</v>
      </c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2">
      <c r="A61">
        <v>19</v>
      </c>
      <c r="B61">
        <v>7462</v>
      </c>
      <c r="C61" s="1">
        <v>44713</v>
      </c>
      <c r="D61" s="2">
        <v>0.49722222222222223</v>
      </c>
      <c r="E61" t="s">
        <v>90</v>
      </c>
      <c r="F61">
        <v>3</v>
      </c>
      <c r="G61">
        <v>9.1999999999999993</v>
      </c>
      <c r="H61">
        <v>0</v>
      </c>
      <c r="I61">
        <v>79</v>
      </c>
      <c r="J61">
        <v>5000</v>
      </c>
      <c r="K61" t="s">
        <v>90</v>
      </c>
      <c r="L61" t="s">
        <v>81</v>
      </c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2">
      <c r="A62">
        <v>115</v>
      </c>
      <c r="B62">
        <v>7311</v>
      </c>
      <c r="C62" s="1">
        <v>44862</v>
      </c>
      <c r="D62" s="2">
        <v>0.4909722222222222</v>
      </c>
      <c r="E62" t="s">
        <v>18</v>
      </c>
      <c r="F62">
        <v>1</v>
      </c>
      <c r="G62">
        <v>2.2999999999999998</v>
      </c>
      <c r="H62">
        <v>100</v>
      </c>
      <c r="I62">
        <v>91.3</v>
      </c>
      <c r="J62">
        <v>4900</v>
      </c>
      <c r="K62" t="s">
        <v>18</v>
      </c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2">
      <c r="A63">
        <v>237</v>
      </c>
      <c r="B63">
        <v>7629</v>
      </c>
      <c r="C63" s="1">
        <v>45093</v>
      </c>
      <c r="D63" s="2">
        <v>0.42777777777777781</v>
      </c>
      <c r="E63" t="s">
        <v>280</v>
      </c>
      <c r="F63">
        <v>1</v>
      </c>
      <c r="G63">
        <v>10.1</v>
      </c>
      <c r="H63">
        <v>0</v>
      </c>
      <c r="I63">
        <v>91</v>
      </c>
      <c r="J63">
        <f>5300-500</f>
        <v>4800</v>
      </c>
      <c r="K63" t="s">
        <v>280</v>
      </c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2">
      <c r="A64">
        <v>96</v>
      </c>
      <c r="B64">
        <v>7590</v>
      </c>
      <c r="C64" s="1">
        <v>44859</v>
      </c>
      <c r="D64" s="2">
        <v>0.44305555555555554</v>
      </c>
      <c r="E64" t="s">
        <v>27</v>
      </c>
      <c r="F64">
        <v>2</v>
      </c>
      <c r="G64">
        <v>9.1</v>
      </c>
      <c r="H64">
        <v>0</v>
      </c>
      <c r="I64">
        <v>84.1</v>
      </c>
      <c r="J64">
        <v>4600</v>
      </c>
      <c r="K64" t="s">
        <v>27</v>
      </c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x14ac:dyDescent="0.2">
      <c r="A65">
        <v>101</v>
      </c>
      <c r="B65">
        <v>7404</v>
      </c>
      <c r="C65" s="1">
        <v>44860</v>
      </c>
      <c r="D65" s="2">
        <v>0.40277777777777773</v>
      </c>
      <c r="E65" t="s">
        <v>23</v>
      </c>
      <c r="F65">
        <v>3</v>
      </c>
      <c r="G65">
        <v>3.3</v>
      </c>
      <c r="H65">
        <v>100</v>
      </c>
      <c r="I65">
        <v>88.6</v>
      </c>
      <c r="J65">
        <v>4500</v>
      </c>
      <c r="K65" t="s">
        <v>23</v>
      </c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x14ac:dyDescent="0.2">
      <c r="A66">
        <v>51</v>
      </c>
      <c r="B66">
        <v>7380</v>
      </c>
      <c r="C66" s="1">
        <v>44734</v>
      </c>
      <c r="D66" s="2">
        <v>0.41666666666666669</v>
      </c>
      <c r="E66" t="s">
        <v>53</v>
      </c>
      <c r="F66">
        <v>3</v>
      </c>
      <c r="G66">
        <v>9.6999999999999993</v>
      </c>
      <c r="H66">
        <v>100</v>
      </c>
      <c r="I66">
        <v>81.5</v>
      </c>
      <c r="J66">
        <v>4350</v>
      </c>
      <c r="K66" t="s">
        <v>53</v>
      </c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2">
      <c r="A67">
        <v>186</v>
      </c>
      <c r="B67">
        <v>7523</v>
      </c>
      <c r="C67" s="1">
        <v>45083</v>
      </c>
      <c r="D67" s="2">
        <v>0.41666666666666669</v>
      </c>
      <c r="E67" t="s">
        <v>219</v>
      </c>
      <c r="F67">
        <v>2</v>
      </c>
      <c r="H67">
        <v>0</v>
      </c>
      <c r="I67">
        <v>82.5</v>
      </c>
      <c r="J67">
        <f>4750-500</f>
        <v>4250</v>
      </c>
      <c r="K67" t="s">
        <v>219</v>
      </c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x14ac:dyDescent="0.2">
      <c r="A68">
        <v>10</v>
      </c>
      <c r="B68">
        <v>7201</v>
      </c>
      <c r="C68" s="1">
        <v>44713</v>
      </c>
      <c r="D68" s="2">
        <v>0.3972222222222222</v>
      </c>
      <c r="E68" t="s">
        <v>84</v>
      </c>
      <c r="F68">
        <v>3</v>
      </c>
      <c r="G68">
        <v>8.9</v>
      </c>
      <c r="H68">
        <v>0</v>
      </c>
      <c r="I68">
        <v>89</v>
      </c>
      <c r="J68">
        <v>4050</v>
      </c>
      <c r="K68" t="s">
        <v>84</v>
      </c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2">
      <c r="A69">
        <v>166</v>
      </c>
      <c r="B69">
        <v>7497</v>
      </c>
      <c r="C69" s="1">
        <v>45078</v>
      </c>
      <c r="E69" t="s">
        <v>193</v>
      </c>
      <c r="F69">
        <v>3</v>
      </c>
      <c r="H69">
        <v>0</v>
      </c>
      <c r="I69">
        <v>77</v>
      </c>
      <c r="J69">
        <f>4450-500</f>
        <v>3950</v>
      </c>
      <c r="K69" t="s">
        <v>193</v>
      </c>
      <c r="L69" t="s">
        <v>194</v>
      </c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2">
      <c r="A70">
        <v>1</v>
      </c>
      <c r="B70">
        <v>7037</v>
      </c>
      <c r="C70" s="1">
        <v>44712</v>
      </c>
      <c r="D70" s="2">
        <v>0.5083333333333333</v>
      </c>
      <c r="E70" t="s">
        <v>96</v>
      </c>
      <c r="F70">
        <v>2</v>
      </c>
      <c r="G70">
        <v>7.5</v>
      </c>
      <c r="H70">
        <v>100</v>
      </c>
      <c r="I70">
        <v>85</v>
      </c>
      <c r="J70">
        <v>3850</v>
      </c>
      <c r="K70" t="s">
        <v>96</v>
      </c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2">
      <c r="A71">
        <v>23</v>
      </c>
      <c r="B71">
        <v>7046</v>
      </c>
      <c r="C71" s="1">
        <v>44713</v>
      </c>
      <c r="D71" s="2">
        <v>0.50694444444444442</v>
      </c>
      <c r="E71" t="s">
        <v>93</v>
      </c>
      <c r="F71">
        <v>3</v>
      </c>
      <c r="G71">
        <v>10.199999999999999</v>
      </c>
      <c r="H71">
        <v>100</v>
      </c>
      <c r="I71">
        <v>81.5</v>
      </c>
      <c r="J71">
        <v>3800</v>
      </c>
      <c r="K71" t="s">
        <v>93</v>
      </c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2">
      <c r="A72">
        <v>140</v>
      </c>
      <c r="B72">
        <v>7329</v>
      </c>
      <c r="C72" s="1">
        <v>45073</v>
      </c>
      <c r="D72" s="2">
        <v>0.42430555555555555</v>
      </c>
      <c r="E72" t="s">
        <v>156</v>
      </c>
      <c r="F72">
        <v>1</v>
      </c>
      <c r="G72">
        <v>5.4</v>
      </c>
      <c r="H72">
        <v>100</v>
      </c>
      <c r="I72">
        <v>77.5</v>
      </c>
      <c r="J72">
        <f>4300-500</f>
        <v>3800</v>
      </c>
      <c r="K72" t="s">
        <v>156</v>
      </c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2">
      <c r="A73">
        <v>8</v>
      </c>
      <c r="B73">
        <v>7195</v>
      </c>
      <c r="C73" s="1">
        <v>44712</v>
      </c>
      <c r="D73" s="2">
        <v>0.42986111111111108</v>
      </c>
      <c r="E73" t="s">
        <v>104</v>
      </c>
      <c r="F73">
        <v>2</v>
      </c>
      <c r="G73">
        <v>6.6</v>
      </c>
      <c r="H73">
        <v>0</v>
      </c>
      <c r="I73">
        <v>76</v>
      </c>
      <c r="J73">
        <v>3750</v>
      </c>
      <c r="K73" t="s">
        <v>104</v>
      </c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2">
      <c r="A74">
        <v>124</v>
      </c>
      <c r="B74">
        <v>7319</v>
      </c>
      <c r="C74" s="1">
        <v>45070</v>
      </c>
      <c r="D74" s="2">
        <v>0.50347222222222221</v>
      </c>
      <c r="E74" t="s">
        <v>144</v>
      </c>
      <c r="F74">
        <v>2</v>
      </c>
      <c r="G74">
        <v>10</v>
      </c>
      <c r="H74">
        <v>100</v>
      </c>
      <c r="I74">
        <v>83</v>
      </c>
      <c r="J74">
        <f>4200-500</f>
        <v>3700</v>
      </c>
      <c r="K74" t="s">
        <v>144</v>
      </c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2">
      <c r="A75">
        <v>142</v>
      </c>
      <c r="B75">
        <v>7330</v>
      </c>
      <c r="C75" s="1">
        <v>45073</v>
      </c>
      <c r="D75" s="2">
        <v>0.4375</v>
      </c>
      <c r="E75" t="s">
        <v>159</v>
      </c>
      <c r="F75">
        <v>1</v>
      </c>
      <c r="G75">
        <v>6.1</v>
      </c>
      <c r="H75">
        <v>100</v>
      </c>
      <c r="I75">
        <v>85</v>
      </c>
      <c r="J75">
        <f>4150-500</f>
        <v>3650</v>
      </c>
      <c r="K75" t="s">
        <v>159</v>
      </c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2">
      <c r="A76">
        <v>94</v>
      </c>
      <c r="B76">
        <v>7589</v>
      </c>
      <c r="C76" s="1">
        <v>44859</v>
      </c>
      <c r="D76" s="2">
        <v>0.4152777777777778</v>
      </c>
      <c r="E76" t="s">
        <v>25</v>
      </c>
      <c r="F76">
        <v>2</v>
      </c>
      <c r="G76">
        <v>3.2</v>
      </c>
      <c r="H76">
        <v>0</v>
      </c>
      <c r="I76">
        <v>81.8</v>
      </c>
      <c r="J76">
        <v>3500</v>
      </c>
      <c r="K76" t="s">
        <v>25</v>
      </c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2">
      <c r="A77">
        <v>20</v>
      </c>
      <c r="B77">
        <v>7203</v>
      </c>
      <c r="C77" s="1">
        <v>44713</v>
      </c>
      <c r="D77" s="2">
        <v>0.43402777777777773</v>
      </c>
      <c r="E77" t="s">
        <v>91</v>
      </c>
      <c r="F77">
        <v>3</v>
      </c>
      <c r="G77">
        <v>6.7</v>
      </c>
      <c r="H77">
        <v>0</v>
      </c>
      <c r="I77">
        <v>76</v>
      </c>
      <c r="J77">
        <v>3450</v>
      </c>
      <c r="K77" t="s">
        <v>91</v>
      </c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2">
      <c r="A78">
        <v>3</v>
      </c>
      <c r="B78">
        <v>7036</v>
      </c>
      <c r="C78" s="1">
        <v>44712</v>
      </c>
      <c r="D78" s="2">
        <v>0.46875</v>
      </c>
      <c r="E78" t="s">
        <v>99</v>
      </c>
      <c r="F78">
        <v>2</v>
      </c>
      <c r="G78">
        <v>6.1</v>
      </c>
      <c r="H78">
        <v>100</v>
      </c>
      <c r="I78">
        <v>74</v>
      </c>
      <c r="J78">
        <v>3450</v>
      </c>
      <c r="K78" t="s">
        <v>99</v>
      </c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2">
      <c r="A79">
        <v>15</v>
      </c>
      <c r="B79">
        <v>7205</v>
      </c>
      <c r="C79" s="1">
        <v>44713</v>
      </c>
      <c r="D79" s="2">
        <v>0.44861111111111113</v>
      </c>
      <c r="E79" t="s">
        <v>87</v>
      </c>
      <c r="F79">
        <v>3</v>
      </c>
      <c r="G79">
        <v>9.3000000000000007</v>
      </c>
      <c r="H79">
        <v>0</v>
      </c>
      <c r="I79">
        <v>68</v>
      </c>
      <c r="J79">
        <v>3450</v>
      </c>
      <c r="K79" t="s">
        <v>87</v>
      </c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2">
      <c r="A80">
        <v>135</v>
      </c>
      <c r="B80">
        <v>7491</v>
      </c>
      <c r="C80" s="1">
        <v>45072</v>
      </c>
      <c r="D80" s="2">
        <v>0.41875000000000001</v>
      </c>
      <c r="E80" t="s">
        <v>153</v>
      </c>
      <c r="F80">
        <v>4</v>
      </c>
      <c r="G80">
        <v>10.4</v>
      </c>
      <c r="H80">
        <v>0</v>
      </c>
      <c r="I80">
        <v>76.5</v>
      </c>
      <c r="J80">
        <f>3900-500</f>
        <v>3400</v>
      </c>
      <c r="K80" t="s">
        <v>153</v>
      </c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x14ac:dyDescent="0.2">
      <c r="A81">
        <v>29</v>
      </c>
      <c r="B81">
        <v>7464</v>
      </c>
      <c r="C81" s="1">
        <v>44714</v>
      </c>
      <c r="D81" s="2">
        <v>0.45208333333333334</v>
      </c>
      <c r="E81" t="s">
        <v>78</v>
      </c>
      <c r="F81">
        <v>4</v>
      </c>
      <c r="G81">
        <v>9.5</v>
      </c>
      <c r="H81">
        <v>0</v>
      </c>
      <c r="I81">
        <v>87.5</v>
      </c>
      <c r="J81">
        <v>3350</v>
      </c>
      <c r="K81" t="s">
        <v>78</v>
      </c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2">
      <c r="A82">
        <v>70</v>
      </c>
      <c r="B82">
        <v>7580</v>
      </c>
      <c r="C82" s="1">
        <v>44735</v>
      </c>
      <c r="D82" s="2">
        <v>0.52430555555555558</v>
      </c>
      <c r="E82" t="s">
        <v>40</v>
      </c>
      <c r="F82">
        <v>4</v>
      </c>
      <c r="G82">
        <v>9.5</v>
      </c>
      <c r="H82">
        <v>0</v>
      </c>
      <c r="I82">
        <v>81</v>
      </c>
      <c r="J82">
        <v>3350</v>
      </c>
      <c r="K82" t="s">
        <v>40</v>
      </c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x14ac:dyDescent="0.2">
      <c r="A83">
        <v>80</v>
      </c>
      <c r="B83">
        <v>7581</v>
      </c>
      <c r="C83" s="1">
        <v>44735</v>
      </c>
      <c r="D83" s="2">
        <v>0.53541666666666665</v>
      </c>
      <c r="E83" t="s">
        <v>48</v>
      </c>
      <c r="F83">
        <v>4</v>
      </c>
      <c r="G83">
        <v>10</v>
      </c>
      <c r="H83">
        <v>0</v>
      </c>
      <c r="I83">
        <v>73.5</v>
      </c>
      <c r="J83">
        <v>3350</v>
      </c>
      <c r="K83" t="s">
        <v>48</v>
      </c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2">
      <c r="A84">
        <v>9</v>
      </c>
      <c r="B84">
        <v>7196</v>
      </c>
      <c r="C84" s="1">
        <v>44712</v>
      </c>
      <c r="D84" s="2">
        <v>0.47291666666666665</v>
      </c>
      <c r="E84" t="s">
        <v>105</v>
      </c>
      <c r="F84">
        <v>2</v>
      </c>
      <c r="G84">
        <v>8.1</v>
      </c>
      <c r="H84">
        <v>0</v>
      </c>
      <c r="I84">
        <v>68</v>
      </c>
      <c r="J84">
        <v>3350</v>
      </c>
      <c r="K84" t="s">
        <v>105</v>
      </c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2">
      <c r="A85">
        <v>2</v>
      </c>
      <c r="B85">
        <v>7199</v>
      </c>
      <c r="C85" s="1">
        <v>44712</v>
      </c>
      <c r="D85" s="2">
        <v>0.51250000000000007</v>
      </c>
      <c r="E85" t="s">
        <v>97</v>
      </c>
      <c r="F85">
        <v>2</v>
      </c>
      <c r="G85">
        <v>7</v>
      </c>
      <c r="H85">
        <v>0</v>
      </c>
      <c r="I85">
        <v>62</v>
      </c>
      <c r="J85">
        <v>3350</v>
      </c>
      <c r="K85" t="s">
        <v>97</v>
      </c>
      <c r="L85" t="s">
        <v>98</v>
      </c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2">
      <c r="A86">
        <v>193</v>
      </c>
      <c r="B86">
        <v>7263</v>
      </c>
      <c r="C86" s="1">
        <v>45084</v>
      </c>
      <c r="D86" s="2">
        <v>0.39999999999999997</v>
      </c>
      <c r="E86" t="s">
        <v>224</v>
      </c>
      <c r="F86">
        <v>3</v>
      </c>
      <c r="H86">
        <v>100</v>
      </c>
      <c r="I86">
        <v>79</v>
      </c>
      <c r="J86">
        <f>3750-500</f>
        <v>3250</v>
      </c>
      <c r="K86" t="s">
        <v>224</v>
      </c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x14ac:dyDescent="0.2">
      <c r="A87">
        <v>49</v>
      </c>
      <c r="B87">
        <v>7373</v>
      </c>
      <c r="C87" s="1">
        <v>44733</v>
      </c>
      <c r="D87" s="2">
        <v>0.39930555555555558</v>
      </c>
      <c r="E87" t="s">
        <v>70</v>
      </c>
      <c r="F87">
        <v>2</v>
      </c>
      <c r="G87">
        <v>9.3000000000000007</v>
      </c>
      <c r="H87">
        <v>100</v>
      </c>
      <c r="I87">
        <v>75</v>
      </c>
      <c r="J87">
        <v>3250</v>
      </c>
      <c r="K87" t="s">
        <v>70</v>
      </c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2">
      <c r="A88">
        <v>122</v>
      </c>
      <c r="B88">
        <v>7317</v>
      </c>
      <c r="C88" s="1">
        <v>45070</v>
      </c>
      <c r="D88" s="2">
        <v>0.4826388888888889</v>
      </c>
      <c r="E88" t="s">
        <v>142</v>
      </c>
      <c r="F88">
        <v>2</v>
      </c>
      <c r="G88">
        <v>7.1</v>
      </c>
      <c r="H88">
        <v>100</v>
      </c>
      <c r="I88">
        <v>71.5</v>
      </c>
      <c r="J88">
        <f>3700-500</f>
        <v>3200</v>
      </c>
      <c r="K88" t="s">
        <v>142</v>
      </c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x14ac:dyDescent="0.2">
      <c r="A89">
        <v>123</v>
      </c>
      <c r="B89">
        <v>7610</v>
      </c>
      <c r="C89" s="1">
        <v>45070</v>
      </c>
      <c r="D89" s="2">
        <v>0.49305555555555558</v>
      </c>
      <c r="E89" t="s">
        <v>143</v>
      </c>
      <c r="F89">
        <v>2</v>
      </c>
      <c r="G89">
        <v>9.1</v>
      </c>
      <c r="H89">
        <v>0</v>
      </c>
      <c r="I89">
        <v>71.5</v>
      </c>
      <c r="J89">
        <f>3650-500</f>
        <v>3150</v>
      </c>
      <c r="K89" t="s">
        <v>143</v>
      </c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2">
      <c r="A90">
        <v>13</v>
      </c>
      <c r="B90">
        <v>7038</v>
      </c>
      <c r="C90" s="1">
        <v>44713</v>
      </c>
      <c r="D90" s="2">
        <v>0.37986111111111115</v>
      </c>
      <c r="E90" t="s">
        <v>85</v>
      </c>
      <c r="F90">
        <v>3</v>
      </c>
      <c r="G90">
        <v>9.8000000000000007</v>
      </c>
      <c r="H90">
        <v>100</v>
      </c>
      <c r="I90">
        <v>77</v>
      </c>
      <c r="J90">
        <v>3050</v>
      </c>
      <c r="K90" t="s">
        <v>85</v>
      </c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x14ac:dyDescent="0.2">
      <c r="A91">
        <v>212</v>
      </c>
      <c r="B91">
        <v>7276</v>
      </c>
      <c r="C91" s="1">
        <v>45085</v>
      </c>
      <c r="D91" s="2">
        <v>0.46388888888888885</v>
      </c>
      <c r="E91" t="s">
        <v>240</v>
      </c>
      <c r="F91">
        <v>4</v>
      </c>
      <c r="H91">
        <v>100</v>
      </c>
      <c r="I91">
        <v>73</v>
      </c>
      <c r="J91">
        <f>3500-500</f>
        <v>3000</v>
      </c>
      <c r="K91" t="s">
        <v>240</v>
      </c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x14ac:dyDescent="0.2">
      <c r="A92">
        <v>121</v>
      </c>
      <c r="B92">
        <v>7609</v>
      </c>
      <c r="C92" s="1">
        <v>45070</v>
      </c>
      <c r="D92" s="2">
        <v>0.44027777777777777</v>
      </c>
      <c r="E92" t="s">
        <v>141</v>
      </c>
      <c r="F92">
        <v>2</v>
      </c>
      <c r="G92">
        <v>9.8000000000000007</v>
      </c>
      <c r="H92">
        <v>0</v>
      </c>
      <c r="I92">
        <v>73.5</v>
      </c>
      <c r="J92">
        <f>3400-500</f>
        <v>2900</v>
      </c>
      <c r="K92" t="s">
        <v>141</v>
      </c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x14ac:dyDescent="0.2">
      <c r="A93">
        <v>35</v>
      </c>
      <c r="B93">
        <v>7467</v>
      </c>
      <c r="C93" s="1">
        <v>44715</v>
      </c>
      <c r="D93" s="2">
        <v>0.39374999999999999</v>
      </c>
      <c r="E93" t="s">
        <v>72</v>
      </c>
      <c r="F93">
        <v>1</v>
      </c>
      <c r="G93">
        <v>10.3</v>
      </c>
      <c r="H93">
        <v>0</v>
      </c>
      <c r="I93">
        <v>74</v>
      </c>
      <c r="J93">
        <v>2850</v>
      </c>
      <c r="K93" t="s">
        <v>72</v>
      </c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2">
      <c r="A94">
        <v>42</v>
      </c>
      <c r="B94">
        <v>7485</v>
      </c>
      <c r="C94" s="1">
        <v>44733</v>
      </c>
      <c r="D94" s="2">
        <v>0.48055555555555557</v>
      </c>
      <c r="E94" t="s">
        <v>65</v>
      </c>
      <c r="F94">
        <v>2</v>
      </c>
      <c r="G94">
        <v>8</v>
      </c>
      <c r="H94">
        <v>0</v>
      </c>
      <c r="I94">
        <v>72.5</v>
      </c>
      <c r="J94">
        <v>2850</v>
      </c>
      <c r="K94" t="s">
        <v>65</v>
      </c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x14ac:dyDescent="0.2">
      <c r="A95">
        <v>125</v>
      </c>
      <c r="B95">
        <v>7607</v>
      </c>
      <c r="C95" s="1">
        <v>45070</v>
      </c>
      <c r="D95" s="2">
        <v>0.5083333333333333</v>
      </c>
      <c r="E95" t="s">
        <v>145</v>
      </c>
      <c r="F95">
        <v>2</v>
      </c>
      <c r="G95">
        <v>8.4</v>
      </c>
      <c r="H95">
        <v>0</v>
      </c>
      <c r="I95">
        <v>67</v>
      </c>
      <c r="J95">
        <f>3350-500</f>
        <v>2850</v>
      </c>
      <c r="K95" t="s">
        <v>145</v>
      </c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2">
      <c r="A96">
        <v>176</v>
      </c>
      <c r="B96">
        <v>7516</v>
      </c>
      <c r="C96" s="1">
        <v>45079</v>
      </c>
      <c r="D96" s="2">
        <v>0.44513888888888892</v>
      </c>
      <c r="E96" t="s">
        <v>203</v>
      </c>
      <c r="F96">
        <v>4</v>
      </c>
      <c r="H96">
        <v>0</v>
      </c>
      <c r="I96">
        <v>69</v>
      </c>
      <c r="J96">
        <f>3250-500</f>
        <v>2750</v>
      </c>
      <c r="K96" t="s">
        <v>203</v>
      </c>
      <c r="L96" t="s">
        <v>189</v>
      </c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2">
      <c r="A97">
        <v>105</v>
      </c>
      <c r="B97">
        <v>7406</v>
      </c>
      <c r="C97" s="1">
        <v>44861</v>
      </c>
      <c r="D97" s="2">
        <v>0.52152777777777781</v>
      </c>
      <c r="E97" t="s">
        <v>21</v>
      </c>
      <c r="F97">
        <v>4</v>
      </c>
      <c r="G97">
        <v>8.5</v>
      </c>
      <c r="H97">
        <v>100</v>
      </c>
      <c r="I97">
        <v>74.900000000000006</v>
      </c>
      <c r="J97">
        <v>2700</v>
      </c>
      <c r="K97" t="s">
        <v>21</v>
      </c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2">
      <c r="A98">
        <v>211</v>
      </c>
      <c r="B98">
        <v>7535</v>
      </c>
      <c r="C98" s="1">
        <v>45085</v>
      </c>
      <c r="D98" s="2">
        <v>0.44930555555555557</v>
      </c>
      <c r="E98" t="s">
        <v>239</v>
      </c>
      <c r="F98">
        <v>4</v>
      </c>
      <c r="H98">
        <v>0</v>
      </c>
      <c r="I98">
        <v>68</v>
      </c>
      <c r="J98">
        <f>3200-500</f>
        <v>2700</v>
      </c>
      <c r="K98" t="s">
        <v>239</v>
      </c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2">
      <c r="A99">
        <v>190</v>
      </c>
      <c r="B99">
        <v>7525</v>
      </c>
      <c r="C99" s="1">
        <v>45083</v>
      </c>
      <c r="D99" s="2">
        <v>0.47916666666666669</v>
      </c>
      <c r="E99" t="s">
        <v>223</v>
      </c>
      <c r="F99">
        <v>2</v>
      </c>
      <c r="H99">
        <v>0</v>
      </c>
      <c r="I99">
        <v>67</v>
      </c>
      <c r="J99">
        <f>3200-500</f>
        <v>2700</v>
      </c>
      <c r="K99" t="s">
        <v>223</v>
      </c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2">
      <c r="A100">
        <v>235</v>
      </c>
      <c r="B100">
        <v>7630</v>
      </c>
      <c r="C100" s="1">
        <v>45093</v>
      </c>
      <c r="D100" s="2">
        <v>0.40277777777777773</v>
      </c>
      <c r="E100" t="s">
        <v>278</v>
      </c>
      <c r="F100">
        <v>1</v>
      </c>
      <c r="G100">
        <v>9.9</v>
      </c>
      <c r="H100">
        <v>0</v>
      </c>
      <c r="I100">
        <v>66</v>
      </c>
      <c r="J100">
        <f>3200-500</f>
        <v>2700</v>
      </c>
      <c r="K100" t="s">
        <v>278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2">
      <c r="A101">
        <v>88</v>
      </c>
      <c r="B101">
        <v>7394</v>
      </c>
      <c r="C101" s="1">
        <v>44736</v>
      </c>
      <c r="D101" s="2">
        <v>0.37777777777777777</v>
      </c>
      <c r="E101" t="s">
        <v>33</v>
      </c>
      <c r="F101">
        <v>1</v>
      </c>
      <c r="G101">
        <v>8.6</v>
      </c>
      <c r="H101">
        <v>100</v>
      </c>
      <c r="I101">
        <v>71</v>
      </c>
      <c r="J101">
        <v>2650</v>
      </c>
      <c r="K101" t="s">
        <v>33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2">
      <c r="A102">
        <v>146</v>
      </c>
      <c r="B102">
        <v>7332</v>
      </c>
      <c r="C102" s="1">
        <v>45073</v>
      </c>
      <c r="D102" s="2">
        <v>0.47013888888888888</v>
      </c>
      <c r="E102" t="s">
        <v>162</v>
      </c>
      <c r="F102">
        <v>1</v>
      </c>
      <c r="G102">
        <v>6.7</v>
      </c>
      <c r="H102">
        <v>100</v>
      </c>
      <c r="I102">
        <v>74</v>
      </c>
      <c r="J102">
        <f>3100-500</f>
        <v>2600</v>
      </c>
      <c r="K102" t="s">
        <v>162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2">
      <c r="A103">
        <v>97</v>
      </c>
      <c r="B103">
        <v>7402</v>
      </c>
      <c r="C103" s="1">
        <v>44859</v>
      </c>
      <c r="D103" s="2">
        <v>0.48819444444444443</v>
      </c>
      <c r="E103" t="s">
        <v>28</v>
      </c>
      <c r="F103">
        <v>2</v>
      </c>
      <c r="G103">
        <v>9.8000000000000007</v>
      </c>
      <c r="H103">
        <v>100</v>
      </c>
      <c r="I103">
        <v>71.3</v>
      </c>
      <c r="J103">
        <v>2600</v>
      </c>
      <c r="K103" t="s">
        <v>28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2">
      <c r="A104">
        <v>134</v>
      </c>
      <c r="B104">
        <v>7326</v>
      </c>
      <c r="C104" s="1">
        <v>45072</v>
      </c>
      <c r="D104" s="2">
        <v>0.40833333333333338</v>
      </c>
      <c r="E104" t="s">
        <v>152</v>
      </c>
      <c r="F104">
        <v>4</v>
      </c>
      <c r="G104">
        <v>9.6999999999999993</v>
      </c>
      <c r="H104">
        <v>100</v>
      </c>
      <c r="I104">
        <v>67.5</v>
      </c>
      <c r="J104">
        <f>3100-500</f>
        <v>2600</v>
      </c>
      <c r="K104" t="s">
        <v>152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2">
      <c r="A105">
        <v>61</v>
      </c>
      <c r="B105">
        <v>7383</v>
      </c>
      <c r="C105" s="1">
        <v>44734</v>
      </c>
      <c r="D105" s="2">
        <v>0.47916666666666669</v>
      </c>
      <c r="E105" t="s">
        <v>60</v>
      </c>
      <c r="F105">
        <v>3</v>
      </c>
      <c r="G105">
        <v>9.8000000000000007</v>
      </c>
      <c r="H105">
        <v>100</v>
      </c>
      <c r="I105">
        <v>72</v>
      </c>
      <c r="J105">
        <v>2550</v>
      </c>
      <c r="K105" t="s">
        <v>60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2">
      <c r="A106">
        <v>21</v>
      </c>
      <c r="B106">
        <v>7042</v>
      </c>
      <c r="C106" s="1">
        <v>44713</v>
      </c>
      <c r="D106" s="2">
        <v>0.43402777777777773</v>
      </c>
      <c r="E106" t="s">
        <v>91</v>
      </c>
      <c r="F106">
        <v>3</v>
      </c>
      <c r="G106">
        <v>6.7</v>
      </c>
      <c r="H106">
        <v>100</v>
      </c>
      <c r="I106">
        <v>73.5</v>
      </c>
      <c r="J106">
        <v>2500</v>
      </c>
      <c r="K106" t="s">
        <v>91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2">
      <c r="A107">
        <v>92</v>
      </c>
      <c r="B107">
        <v>7583</v>
      </c>
      <c r="C107" s="1">
        <v>44736</v>
      </c>
      <c r="D107" s="2">
        <v>0.36319444444444443</v>
      </c>
      <c r="E107" t="s">
        <v>36</v>
      </c>
      <c r="F107">
        <v>1</v>
      </c>
      <c r="G107">
        <v>9.4</v>
      </c>
      <c r="H107">
        <v>0</v>
      </c>
      <c r="I107">
        <v>74</v>
      </c>
      <c r="J107">
        <v>2400</v>
      </c>
      <c r="K107" t="s">
        <v>36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2">
      <c r="A108">
        <v>113</v>
      </c>
      <c r="B108">
        <v>7410</v>
      </c>
      <c r="C108" s="1">
        <v>44862</v>
      </c>
      <c r="D108" s="2">
        <v>0.43541666666666662</v>
      </c>
      <c r="E108" t="s">
        <v>16</v>
      </c>
      <c r="F108">
        <v>1</v>
      </c>
      <c r="G108">
        <v>5.3</v>
      </c>
      <c r="H108">
        <v>100</v>
      </c>
      <c r="I108">
        <v>71.3</v>
      </c>
      <c r="J108">
        <v>2350</v>
      </c>
      <c r="K108" t="s">
        <v>16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2">
      <c r="A109">
        <v>178</v>
      </c>
      <c r="B109">
        <v>7519</v>
      </c>
      <c r="C109" s="1">
        <v>45079</v>
      </c>
      <c r="D109" s="2">
        <v>0.4680555555555555</v>
      </c>
      <c r="E109" t="s">
        <v>208</v>
      </c>
      <c r="F109">
        <v>4</v>
      </c>
      <c r="H109">
        <v>0</v>
      </c>
      <c r="I109">
        <v>66.5</v>
      </c>
      <c r="J109">
        <f>2850-500</f>
        <v>2350</v>
      </c>
      <c r="K109" t="s">
        <v>208</v>
      </c>
      <c r="L109" t="s">
        <v>209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2">
      <c r="A110">
        <v>91</v>
      </c>
      <c r="B110">
        <v>7396</v>
      </c>
      <c r="C110" s="1">
        <v>44736</v>
      </c>
      <c r="D110" s="2">
        <v>0.3833333333333333</v>
      </c>
      <c r="E110" t="s">
        <v>35</v>
      </c>
      <c r="F110">
        <v>1</v>
      </c>
      <c r="G110">
        <v>9</v>
      </c>
      <c r="H110">
        <v>100</v>
      </c>
      <c r="I110">
        <v>70.5</v>
      </c>
      <c r="J110">
        <v>2300</v>
      </c>
      <c r="K110" t="s">
        <v>35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2">
      <c r="A111">
        <v>76</v>
      </c>
      <c r="B111">
        <v>7388</v>
      </c>
      <c r="C111" s="1">
        <v>44735</v>
      </c>
      <c r="D111" s="2">
        <v>0.4826388888888889</v>
      </c>
      <c r="E111" t="s">
        <v>45</v>
      </c>
      <c r="F111">
        <v>4</v>
      </c>
      <c r="G111">
        <v>9.9</v>
      </c>
      <c r="H111">
        <v>100</v>
      </c>
      <c r="I111">
        <v>66.5</v>
      </c>
      <c r="J111">
        <v>2300</v>
      </c>
      <c r="K111" t="s">
        <v>45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2">
      <c r="A112">
        <v>53</v>
      </c>
      <c r="B112">
        <v>7564</v>
      </c>
      <c r="C112" s="1">
        <v>44734</v>
      </c>
      <c r="D112" s="2">
        <v>0.40486111111111112</v>
      </c>
      <c r="E112" t="s">
        <v>54</v>
      </c>
      <c r="F112">
        <v>3</v>
      </c>
      <c r="G112">
        <v>9.4</v>
      </c>
      <c r="H112">
        <v>0</v>
      </c>
      <c r="I112">
        <v>75</v>
      </c>
      <c r="J112">
        <v>2250</v>
      </c>
      <c r="K112" t="s">
        <v>54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x14ac:dyDescent="0.2">
      <c r="A113">
        <v>232</v>
      </c>
      <c r="B113">
        <v>7286</v>
      </c>
      <c r="C113" s="1">
        <v>45092</v>
      </c>
      <c r="D113" s="2">
        <v>0.49027777777777781</v>
      </c>
      <c r="E113" t="s">
        <v>276</v>
      </c>
      <c r="F113">
        <v>4</v>
      </c>
      <c r="G113">
        <v>10.4</v>
      </c>
      <c r="H113">
        <v>100</v>
      </c>
      <c r="I113">
        <v>66</v>
      </c>
      <c r="J113">
        <f>2750-500</f>
        <v>2250</v>
      </c>
      <c r="K113" t="s">
        <v>276</v>
      </c>
      <c r="L113" t="s">
        <v>198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x14ac:dyDescent="0.2">
      <c r="A114">
        <v>151</v>
      </c>
      <c r="B114">
        <v>7507</v>
      </c>
      <c r="C114" s="1">
        <v>45076</v>
      </c>
      <c r="D114" s="2">
        <v>0.41319444444444442</v>
      </c>
      <c r="E114" t="s">
        <v>128</v>
      </c>
      <c r="F114">
        <v>2</v>
      </c>
      <c r="G114">
        <v>8.6999999999999993</v>
      </c>
      <c r="H114">
        <v>0</v>
      </c>
      <c r="I114">
        <v>71</v>
      </c>
      <c r="J114">
        <f>2700-500</f>
        <v>2200</v>
      </c>
      <c r="K114" t="s">
        <v>128</v>
      </c>
      <c r="L114" t="s">
        <v>173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x14ac:dyDescent="0.2">
      <c r="A115">
        <v>103</v>
      </c>
      <c r="B115">
        <v>7405</v>
      </c>
      <c r="C115" s="1">
        <v>44861</v>
      </c>
      <c r="D115" s="2">
        <v>0.47361111111111115</v>
      </c>
      <c r="E115" t="s">
        <v>20</v>
      </c>
      <c r="F115">
        <v>4</v>
      </c>
      <c r="G115">
        <v>10</v>
      </c>
      <c r="H115">
        <v>100</v>
      </c>
      <c r="I115">
        <v>70.2</v>
      </c>
      <c r="J115">
        <v>2200</v>
      </c>
      <c r="K115" t="s">
        <v>20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x14ac:dyDescent="0.2">
      <c r="A116">
        <v>217</v>
      </c>
      <c r="B116">
        <v>7613</v>
      </c>
      <c r="C116" s="1">
        <v>45090</v>
      </c>
      <c r="D116" s="2">
        <v>0.3659722222222222</v>
      </c>
      <c r="E116" t="s">
        <v>245</v>
      </c>
      <c r="F116">
        <v>2</v>
      </c>
      <c r="G116">
        <v>9.1999999999999993</v>
      </c>
      <c r="H116">
        <v>0</v>
      </c>
      <c r="I116">
        <v>64</v>
      </c>
      <c r="J116">
        <f>2700-500</f>
        <v>2200</v>
      </c>
      <c r="K116" t="s">
        <v>245</v>
      </c>
      <c r="L116" t="s">
        <v>246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x14ac:dyDescent="0.2">
      <c r="A117">
        <v>182</v>
      </c>
      <c r="B117">
        <v>7521</v>
      </c>
      <c r="C117" s="1">
        <v>45079</v>
      </c>
      <c r="D117" s="2">
        <v>0.49444444444444446</v>
      </c>
      <c r="E117" t="s">
        <v>212</v>
      </c>
      <c r="F117">
        <v>4</v>
      </c>
      <c r="H117">
        <v>0</v>
      </c>
      <c r="I117">
        <v>70.5</v>
      </c>
      <c r="J117">
        <f>2650-500</f>
        <v>2150</v>
      </c>
      <c r="K117" t="s">
        <v>212</v>
      </c>
      <c r="L117" t="s">
        <v>213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x14ac:dyDescent="0.2">
      <c r="A118">
        <v>141</v>
      </c>
      <c r="B118">
        <v>7494</v>
      </c>
      <c r="C118" s="1">
        <v>45073</v>
      </c>
      <c r="D118" s="2">
        <v>0.42986111111111108</v>
      </c>
      <c r="E118" t="s">
        <v>158</v>
      </c>
      <c r="F118">
        <v>1</v>
      </c>
      <c r="G118">
        <v>6.7</v>
      </c>
      <c r="H118">
        <v>0</v>
      </c>
      <c r="I118">
        <v>66</v>
      </c>
      <c r="J118">
        <f>2650-500</f>
        <v>2150</v>
      </c>
      <c r="K118" t="s">
        <v>158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x14ac:dyDescent="0.2">
      <c r="A119">
        <v>164</v>
      </c>
      <c r="B119">
        <v>7498</v>
      </c>
      <c r="C119" s="1">
        <v>45078</v>
      </c>
      <c r="D119" s="2">
        <v>0.39027777777777778</v>
      </c>
      <c r="E119" t="s">
        <v>190</v>
      </c>
      <c r="F119">
        <v>3</v>
      </c>
      <c r="H119">
        <v>0</v>
      </c>
      <c r="I119">
        <v>70</v>
      </c>
      <c r="J119">
        <f>2600-500</f>
        <v>2100</v>
      </c>
      <c r="K119" t="s">
        <v>190</v>
      </c>
      <c r="L119" t="s">
        <v>191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x14ac:dyDescent="0.2">
      <c r="A120">
        <v>228</v>
      </c>
      <c r="B120">
        <v>7284</v>
      </c>
      <c r="C120" s="1">
        <v>45092</v>
      </c>
      <c r="D120" s="2">
        <v>0.44930555555555557</v>
      </c>
      <c r="E120" t="s">
        <v>268</v>
      </c>
      <c r="F120">
        <v>4</v>
      </c>
      <c r="G120">
        <v>9.6</v>
      </c>
      <c r="H120">
        <v>100</v>
      </c>
      <c r="I120">
        <v>64.5</v>
      </c>
      <c r="J120">
        <f>2600-500</f>
        <v>2100</v>
      </c>
      <c r="K120" t="s">
        <v>268</v>
      </c>
      <c r="L120" t="s">
        <v>269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x14ac:dyDescent="0.2">
      <c r="A121">
        <v>84</v>
      </c>
      <c r="B121">
        <v>7384</v>
      </c>
      <c r="C121" s="1">
        <v>44735</v>
      </c>
      <c r="D121" s="2">
        <v>0.3923611111111111</v>
      </c>
      <c r="E121" t="s">
        <v>51</v>
      </c>
      <c r="F121">
        <v>4</v>
      </c>
      <c r="G121">
        <v>10</v>
      </c>
      <c r="H121">
        <v>0</v>
      </c>
      <c r="I121">
        <v>68.5</v>
      </c>
      <c r="J121">
        <v>2050</v>
      </c>
      <c r="K121" t="s">
        <v>51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x14ac:dyDescent="0.2">
      <c r="A122">
        <v>156</v>
      </c>
      <c r="B122">
        <v>7504</v>
      </c>
      <c r="C122" s="1">
        <v>45076</v>
      </c>
      <c r="D122" s="2">
        <v>0.52638888888888891</v>
      </c>
      <c r="E122" t="s">
        <v>177</v>
      </c>
      <c r="F122">
        <v>2</v>
      </c>
      <c r="G122">
        <v>9</v>
      </c>
      <c r="H122">
        <v>0</v>
      </c>
      <c r="I122">
        <v>64</v>
      </c>
      <c r="J122">
        <f>2550-500</f>
        <v>2050</v>
      </c>
      <c r="K122" t="s">
        <v>177</v>
      </c>
      <c r="L122" t="s">
        <v>176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x14ac:dyDescent="0.2">
      <c r="A123">
        <v>52</v>
      </c>
      <c r="B123">
        <v>7566</v>
      </c>
      <c r="C123" s="1">
        <v>44734</v>
      </c>
      <c r="D123" s="2">
        <v>0.41666666666666669</v>
      </c>
      <c r="E123" t="s">
        <v>53</v>
      </c>
      <c r="F123">
        <v>3</v>
      </c>
      <c r="G123">
        <v>9.6999999999999993</v>
      </c>
      <c r="H123">
        <v>0</v>
      </c>
      <c r="I123">
        <v>64</v>
      </c>
      <c r="J123">
        <v>2050</v>
      </c>
      <c r="K123" t="s">
        <v>53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x14ac:dyDescent="0.2">
      <c r="A124">
        <v>220</v>
      </c>
      <c r="B124">
        <v>7280</v>
      </c>
      <c r="C124" s="1">
        <v>45091</v>
      </c>
      <c r="D124" s="2">
        <v>0.45069444444444445</v>
      </c>
      <c r="E124" t="s">
        <v>251</v>
      </c>
      <c r="F124">
        <v>3</v>
      </c>
      <c r="G124">
        <v>9.8000000000000007</v>
      </c>
      <c r="H124">
        <v>100</v>
      </c>
      <c r="I124">
        <v>62</v>
      </c>
      <c r="J124">
        <f>2550-500</f>
        <v>2050</v>
      </c>
      <c r="K124" t="s">
        <v>251</v>
      </c>
      <c r="L124" t="s">
        <v>250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x14ac:dyDescent="0.2">
      <c r="A125">
        <v>205</v>
      </c>
      <c r="B125">
        <v>7272</v>
      </c>
      <c r="C125" s="1">
        <v>45085</v>
      </c>
      <c r="D125" s="2">
        <v>0.37777777777777777</v>
      </c>
      <c r="E125" t="s">
        <v>233</v>
      </c>
      <c r="F125">
        <v>4</v>
      </c>
      <c r="H125">
        <v>100</v>
      </c>
      <c r="I125">
        <v>66.5</v>
      </c>
      <c r="J125">
        <f>2500-500</f>
        <v>2000</v>
      </c>
      <c r="K125" t="s">
        <v>233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2">
      <c r="A126">
        <v>171</v>
      </c>
      <c r="B126">
        <v>7425</v>
      </c>
      <c r="C126" s="1">
        <v>45078</v>
      </c>
      <c r="D126" s="2">
        <v>0.45069444444444445</v>
      </c>
      <c r="E126" t="s">
        <v>199</v>
      </c>
      <c r="F126">
        <v>3</v>
      </c>
      <c r="H126">
        <v>100</v>
      </c>
      <c r="I126">
        <v>64.5</v>
      </c>
      <c r="J126">
        <f>2500-500</f>
        <v>2000</v>
      </c>
      <c r="K126" t="s">
        <v>199</v>
      </c>
      <c r="L126" t="s">
        <v>200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x14ac:dyDescent="0.2">
      <c r="A127">
        <v>230</v>
      </c>
      <c r="B127">
        <v>7285</v>
      </c>
      <c r="C127" s="1">
        <v>45092</v>
      </c>
      <c r="D127" s="2">
        <v>0.47500000000000003</v>
      </c>
      <c r="E127" t="s">
        <v>272</v>
      </c>
      <c r="F127">
        <v>4</v>
      </c>
      <c r="G127">
        <v>9.6999999999999993</v>
      </c>
      <c r="H127">
        <v>100</v>
      </c>
      <c r="I127">
        <v>64</v>
      </c>
      <c r="J127">
        <f>2500-500</f>
        <v>2000</v>
      </c>
      <c r="K127" t="s">
        <v>272</v>
      </c>
      <c r="L127" t="s">
        <v>273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x14ac:dyDescent="0.2">
      <c r="A128">
        <v>181</v>
      </c>
      <c r="B128">
        <v>7431</v>
      </c>
      <c r="C128" s="1">
        <v>45079</v>
      </c>
      <c r="D128" s="2">
        <v>0.48888888888888887</v>
      </c>
      <c r="E128" t="s">
        <v>211</v>
      </c>
      <c r="F128">
        <v>4</v>
      </c>
      <c r="H128">
        <v>100</v>
      </c>
      <c r="I128">
        <v>61.5</v>
      </c>
      <c r="J128">
        <f>2500-500</f>
        <v>2000</v>
      </c>
      <c r="K128" t="s">
        <v>211</v>
      </c>
      <c r="L128" t="s">
        <v>173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x14ac:dyDescent="0.2">
      <c r="A129">
        <v>17</v>
      </c>
      <c r="B129">
        <v>7045</v>
      </c>
      <c r="C129" s="1">
        <v>44713</v>
      </c>
      <c r="D129" s="2">
        <v>0.4826388888888889</v>
      </c>
      <c r="E129" t="s">
        <v>88</v>
      </c>
      <c r="F129">
        <v>3</v>
      </c>
      <c r="G129">
        <v>9.6999999999999993</v>
      </c>
      <c r="H129">
        <v>100</v>
      </c>
      <c r="I129">
        <v>70.5</v>
      </c>
      <c r="J129">
        <v>1950</v>
      </c>
      <c r="K129" t="s">
        <v>88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x14ac:dyDescent="0.2">
      <c r="A130">
        <v>60</v>
      </c>
      <c r="B130">
        <v>7567</v>
      </c>
      <c r="C130" s="1">
        <v>44734</v>
      </c>
      <c r="D130" s="2">
        <v>0.42986111111111108</v>
      </c>
      <c r="E130" t="s">
        <v>58</v>
      </c>
      <c r="F130">
        <v>3</v>
      </c>
      <c r="G130">
        <v>8.3000000000000007</v>
      </c>
      <c r="H130">
        <v>0</v>
      </c>
      <c r="I130">
        <v>65</v>
      </c>
      <c r="J130">
        <v>1950</v>
      </c>
      <c r="K130" t="s">
        <v>58</v>
      </c>
      <c r="L130" t="s">
        <v>59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x14ac:dyDescent="0.2">
      <c r="A131">
        <v>208</v>
      </c>
      <c r="B131">
        <v>7273</v>
      </c>
      <c r="C131" s="1">
        <v>45085</v>
      </c>
      <c r="D131" s="2">
        <v>0.42708333333333331</v>
      </c>
      <c r="E131" t="s">
        <v>236</v>
      </c>
      <c r="F131">
        <v>4</v>
      </c>
      <c r="H131">
        <v>100</v>
      </c>
      <c r="I131">
        <v>64</v>
      </c>
      <c r="J131">
        <f>2450-500</f>
        <v>1950</v>
      </c>
      <c r="K131" t="s">
        <v>236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x14ac:dyDescent="0.2">
      <c r="A132">
        <v>12</v>
      </c>
      <c r="B132">
        <v>7200</v>
      </c>
      <c r="C132" s="1">
        <v>44713</v>
      </c>
      <c r="D132" s="2">
        <v>0.37986111111111115</v>
      </c>
      <c r="E132" t="s">
        <v>85</v>
      </c>
      <c r="F132">
        <v>3</v>
      </c>
      <c r="G132">
        <v>9.8000000000000007</v>
      </c>
      <c r="H132">
        <v>0</v>
      </c>
      <c r="I132">
        <v>61</v>
      </c>
      <c r="J132">
        <v>1950</v>
      </c>
      <c r="K132" t="s">
        <v>85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x14ac:dyDescent="0.2">
      <c r="A133">
        <v>130</v>
      </c>
      <c r="B133">
        <v>7324</v>
      </c>
      <c r="C133" s="1">
        <v>45071</v>
      </c>
      <c r="D133" s="2">
        <v>0.42430555555555555</v>
      </c>
      <c r="E133" t="s">
        <v>148</v>
      </c>
      <c r="F133">
        <v>3</v>
      </c>
      <c r="G133">
        <v>10.6</v>
      </c>
      <c r="H133">
        <v>100</v>
      </c>
      <c r="I133">
        <v>65</v>
      </c>
      <c r="J133">
        <f>2400-500</f>
        <v>1900</v>
      </c>
      <c r="K133" t="s">
        <v>148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x14ac:dyDescent="0.2">
      <c r="A134">
        <v>196</v>
      </c>
      <c r="B134">
        <v>7528</v>
      </c>
      <c r="C134" s="1">
        <v>45084</v>
      </c>
      <c r="D134" s="2">
        <v>0.42152777777777778</v>
      </c>
      <c r="E134" t="s">
        <v>226</v>
      </c>
      <c r="F134">
        <v>3</v>
      </c>
      <c r="H134">
        <v>0</v>
      </c>
      <c r="I134">
        <v>63.5</v>
      </c>
      <c r="J134">
        <f>2400-500</f>
        <v>1900</v>
      </c>
      <c r="K134" t="s">
        <v>226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x14ac:dyDescent="0.2">
      <c r="A135">
        <v>177</v>
      </c>
      <c r="B135">
        <v>7426</v>
      </c>
      <c r="C135" s="1">
        <v>45079</v>
      </c>
      <c r="D135" s="2">
        <v>0.4513888888888889</v>
      </c>
      <c r="E135" t="s">
        <v>204</v>
      </c>
      <c r="F135">
        <v>4</v>
      </c>
      <c r="H135">
        <v>100</v>
      </c>
      <c r="I135">
        <v>62</v>
      </c>
      <c r="J135">
        <f>2400-500</f>
        <v>1900</v>
      </c>
      <c r="K135" t="s">
        <v>204</v>
      </c>
      <c r="L135" t="s">
        <v>205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x14ac:dyDescent="0.2">
      <c r="A136">
        <v>229</v>
      </c>
      <c r="B136">
        <v>7633</v>
      </c>
      <c r="C136" s="1">
        <v>45092</v>
      </c>
      <c r="D136" s="2">
        <v>0.46666666666666662</v>
      </c>
      <c r="E136" t="s">
        <v>270</v>
      </c>
      <c r="F136">
        <v>4</v>
      </c>
      <c r="G136">
        <v>10.3</v>
      </c>
      <c r="H136">
        <v>0</v>
      </c>
      <c r="I136">
        <v>59</v>
      </c>
      <c r="J136">
        <f>2400-500</f>
        <v>1900</v>
      </c>
      <c r="K136" t="s">
        <v>270</v>
      </c>
      <c r="L136" t="s">
        <v>271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x14ac:dyDescent="0.2">
      <c r="A137">
        <v>131</v>
      </c>
      <c r="B137">
        <v>7488</v>
      </c>
      <c r="C137" s="1">
        <v>45071</v>
      </c>
      <c r="D137" s="2">
        <v>0.43541666666666662</v>
      </c>
      <c r="E137" t="s">
        <v>149</v>
      </c>
      <c r="F137">
        <v>3</v>
      </c>
      <c r="G137">
        <v>7.5</v>
      </c>
      <c r="H137">
        <v>0</v>
      </c>
      <c r="I137">
        <v>62</v>
      </c>
      <c r="J137">
        <f>2350-500</f>
        <v>1850</v>
      </c>
      <c r="K137" t="s">
        <v>149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x14ac:dyDescent="0.2">
      <c r="A138">
        <v>47</v>
      </c>
      <c r="B138">
        <v>7375</v>
      </c>
      <c r="C138" s="1">
        <v>44733</v>
      </c>
      <c r="D138" s="2">
        <v>0.46875</v>
      </c>
      <c r="E138" t="s">
        <v>68</v>
      </c>
      <c r="F138">
        <v>2</v>
      </c>
      <c r="G138">
        <v>10</v>
      </c>
      <c r="H138">
        <v>100</v>
      </c>
      <c r="I138">
        <v>55.5</v>
      </c>
      <c r="J138">
        <v>1850</v>
      </c>
      <c r="K138" t="s">
        <v>68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x14ac:dyDescent="0.2">
      <c r="A139">
        <v>169</v>
      </c>
      <c r="B139">
        <v>7424</v>
      </c>
      <c r="C139" s="1">
        <v>45078</v>
      </c>
      <c r="D139" s="2">
        <v>0.44097222222222227</v>
      </c>
      <c r="E139" t="s">
        <v>197</v>
      </c>
      <c r="F139">
        <v>3</v>
      </c>
      <c r="H139">
        <v>100</v>
      </c>
      <c r="I139">
        <v>64</v>
      </c>
      <c r="J139">
        <f>2300-500</f>
        <v>1800</v>
      </c>
      <c r="K139" t="s">
        <v>197</v>
      </c>
      <c r="L139" t="s">
        <v>198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x14ac:dyDescent="0.2">
      <c r="A140">
        <v>77</v>
      </c>
      <c r="B140">
        <v>7386</v>
      </c>
      <c r="C140" s="1">
        <v>44735</v>
      </c>
      <c r="D140" s="2">
        <v>0.4381944444444445</v>
      </c>
      <c r="E140" t="s">
        <v>46</v>
      </c>
      <c r="F140">
        <v>4</v>
      </c>
      <c r="G140">
        <v>9.6999999999999993</v>
      </c>
      <c r="H140">
        <v>100</v>
      </c>
      <c r="I140">
        <v>63.5</v>
      </c>
      <c r="J140">
        <v>1800</v>
      </c>
      <c r="K140" t="s">
        <v>46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x14ac:dyDescent="0.2">
      <c r="A141">
        <v>209</v>
      </c>
      <c r="B141">
        <v>7534</v>
      </c>
      <c r="C141" s="1">
        <v>45085</v>
      </c>
      <c r="D141" s="2">
        <v>0.4368055555555555</v>
      </c>
      <c r="E141" t="s">
        <v>237</v>
      </c>
      <c r="F141">
        <v>4</v>
      </c>
      <c r="H141">
        <v>0</v>
      </c>
      <c r="I141">
        <v>60</v>
      </c>
      <c r="J141">
        <f>2300-500</f>
        <v>1800</v>
      </c>
      <c r="K141" t="s">
        <v>237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x14ac:dyDescent="0.2">
      <c r="A142">
        <v>117</v>
      </c>
      <c r="B142">
        <v>7603</v>
      </c>
      <c r="C142" s="1">
        <v>45070</v>
      </c>
      <c r="D142" s="2">
        <v>0.3840277777777778</v>
      </c>
      <c r="E142" t="s">
        <v>137</v>
      </c>
      <c r="F142">
        <v>2</v>
      </c>
      <c r="G142">
        <v>5</v>
      </c>
      <c r="H142">
        <v>0</v>
      </c>
      <c r="I142">
        <v>60</v>
      </c>
      <c r="J142">
        <f>2300-500</f>
        <v>1800</v>
      </c>
      <c r="K142" t="s">
        <v>137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x14ac:dyDescent="0.2">
      <c r="A143">
        <v>40</v>
      </c>
      <c r="B143">
        <v>7371</v>
      </c>
      <c r="C143" s="1">
        <v>44733</v>
      </c>
      <c r="D143" s="2">
        <v>0.37847222222222227</v>
      </c>
      <c r="E143" t="s">
        <v>63</v>
      </c>
      <c r="F143">
        <v>2</v>
      </c>
      <c r="G143">
        <v>7.9</v>
      </c>
      <c r="H143">
        <v>100</v>
      </c>
      <c r="I143">
        <v>64</v>
      </c>
      <c r="J143">
        <v>1750</v>
      </c>
      <c r="K143" t="s">
        <v>63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x14ac:dyDescent="0.2">
      <c r="A144">
        <v>173</v>
      </c>
      <c r="B144">
        <v>7426</v>
      </c>
      <c r="C144" s="1">
        <v>45079</v>
      </c>
      <c r="D144" s="2">
        <v>0.43541666666666662</v>
      </c>
      <c r="E144" t="s">
        <v>202</v>
      </c>
      <c r="F144">
        <v>4</v>
      </c>
      <c r="H144">
        <v>100</v>
      </c>
      <c r="I144">
        <v>63</v>
      </c>
      <c r="J144">
        <f>2250-500</f>
        <v>1750</v>
      </c>
      <c r="K144" t="s">
        <v>202</v>
      </c>
      <c r="L144" t="s">
        <v>176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x14ac:dyDescent="0.2">
      <c r="A145">
        <v>231</v>
      </c>
      <c r="B145">
        <v>7632</v>
      </c>
      <c r="C145" s="1">
        <v>45092</v>
      </c>
      <c r="D145" s="2">
        <v>0.48194444444444445</v>
      </c>
      <c r="E145" t="s">
        <v>274</v>
      </c>
      <c r="F145">
        <v>4</v>
      </c>
      <c r="G145">
        <v>10.3</v>
      </c>
      <c r="H145">
        <v>0</v>
      </c>
      <c r="I145">
        <v>59</v>
      </c>
      <c r="J145">
        <f>2250-500</f>
        <v>1750</v>
      </c>
      <c r="K145" t="s">
        <v>274</v>
      </c>
      <c r="L145" t="s">
        <v>275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x14ac:dyDescent="0.2">
      <c r="A146">
        <v>162</v>
      </c>
      <c r="B146">
        <v>7499</v>
      </c>
      <c r="C146" s="1">
        <v>45077</v>
      </c>
      <c r="D146" s="2">
        <v>0.4381944444444445</v>
      </c>
      <c r="E146" t="s">
        <v>188</v>
      </c>
      <c r="F146">
        <v>1</v>
      </c>
      <c r="G146">
        <v>10</v>
      </c>
      <c r="H146">
        <v>0</v>
      </c>
      <c r="I146">
        <v>59</v>
      </c>
      <c r="J146">
        <f>2200-500</f>
        <v>1700</v>
      </c>
      <c r="K146" t="s">
        <v>188</v>
      </c>
      <c r="L146" t="s">
        <v>189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2">
      <c r="A147">
        <v>216</v>
      </c>
      <c r="B147">
        <v>7278</v>
      </c>
      <c r="C147" s="1">
        <v>45086</v>
      </c>
      <c r="D147" s="2">
        <v>0.44513888888888892</v>
      </c>
      <c r="E147" t="s">
        <v>244</v>
      </c>
      <c r="F147">
        <v>1</v>
      </c>
      <c r="H147">
        <v>100</v>
      </c>
      <c r="I147">
        <v>63.5</v>
      </c>
      <c r="J147">
        <f>2150-500</f>
        <v>1650</v>
      </c>
      <c r="K147" t="s">
        <v>244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2">
      <c r="A148">
        <v>109</v>
      </c>
      <c r="B148">
        <v>7408</v>
      </c>
      <c r="C148" s="1">
        <v>44862</v>
      </c>
      <c r="D148" s="2">
        <v>0.39583333333333331</v>
      </c>
      <c r="E148" t="s">
        <v>14</v>
      </c>
      <c r="F148">
        <v>1</v>
      </c>
      <c r="G148">
        <v>7.2</v>
      </c>
      <c r="H148">
        <v>100</v>
      </c>
      <c r="I148">
        <v>60.8</v>
      </c>
      <c r="J148">
        <v>1650</v>
      </c>
      <c r="K148" t="s">
        <v>14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2">
      <c r="A149">
        <v>32</v>
      </c>
      <c r="B149">
        <v>7047</v>
      </c>
      <c r="C149" s="1">
        <v>44714</v>
      </c>
      <c r="D149" s="2">
        <v>0.43055555555555558</v>
      </c>
      <c r="E149" t="s">
        <v>82</v>
      </c>
      <c r="F149">
        <v>4</v>
      </c>
      <c r="G149">
        <v>9.4</v>
      </c>
      <c r="H149">
        <v>100</v>
      </c>
      <c r="I149">
        <v>60</v>
      </c>
      <c r="J149">
        <v>1650</v>
      </c>
      <c r="K149" t="s">
        <v>82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x14ac:dyDescent="0.2">
      <c r="A150">
        <v>184</v>
      </c>
      <c r="B150">
        <v>7522</v>
      </c>
      <c r="C150" s="1">
        <v>45079</v>
      </c>
      <c r="D150" s="2">
        <v>0.51458333333333328</v>
      </c>
      <c r="E150" t="s">
        <v>216</v>
      </c>
      <c r="F150">
        <v>4</v>
      </c>
      <c r="H150">
        <v>0</v>
      </c>
      <c r="I150">
        <v>59</v>
      </c>
      <c r="J150">
        <f>2150-500</f>
        <v>1650</v>
      </c>
      <c r="K150" t="s">
        <v>216</v>
      </c>
      <c r="L150" t="s">
        <v>189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x14ac:dyDescent="0.2">
      <c r="A151">
        <v>73</v>
      </c>
      <c r="B151">
        <v>7572</v>
      </c>
      <c r="C151" s="1">
        <v>44735</v>
      </c>
      <c r="D151" s="2">
        <v>0.42777777777777781</v>
      </c>
      <c r="E151" t="s">
        <v>42</v>
      </c>
      <c r="F151">
        <v>4</v>
      </c>
      <c r="G151">
        <v>10.199999999999999</v>
      </c>
      <c r="H151">
        <v>0</v>
      </c>
      <c r="I151">
        <v>58.5</v>
      </c>
      <c r="J151">
        <v>1650</v>
      </c>
      <c r="K151" t="s">
        <v>42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x14ac:dyDescent="0.2">
      <c r="A152">
        <v>136</v>
      </c>
      <c r="B152">
        <v>7327</v>
      </c>
      <c r="C152" s="1">
        <v>45072</v>
      </c>
      <c r="D152" s="2">
        <v>0.43611111111111112</v>
      </c>
      <c r="E152" t="s">
        <v>154</v>
      </c>
      <c r="F152">
        <v>4</v>
      </c>
      <c r="G152">
        <v>10.3</v>
      </c>
      <c r="H152">
        <v>100</v>
      </c>
      <c r="I152">
        <v>56</v>
      </c>
      <c r="J152">
        <f>2150-500</f>
        <v>1650</v>
      </c>
      <c r="K152" t="s">
        <v>154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x14ac:dyDescent="0.2">
      <c r="A153">
        <v>30</v>
      </c>
      <c r="B153">
        <v>7466</v>
      </c>
      <c r="C153" s="1">
        <v>44714</v>
      </c>
      <c r="D153" s="2">
        <v>0.49027777777777781</v>
      </c>
      <c r="E153" t="s">
        <v>79</v>
      </c>
      <c r="F153">
        <v>4</v>
      </c>
      <c r="G153">
        <v>8.1999999999999993</v>
      </c>
      <c r="H153">
        <v>0</v>
      </c>
      <c r="I153">
        <v>69</v>
      </c>
      <c r="J153">
        <v>1600</v>
      </c>
      <c r="K153" t="s">
        <v>79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x14ac:dyDescent="0.2">
      <c r="A154">
        <v>86</v>
      </c>
      <c r="B154">
        <v>7587</v>
      </c>
      <c r="C154" s="1">
        <v>44736</v>
      </c>
      <c r="D154" s="2">
        <v>0.4201388888888889</v>
      </c>
      <c r="E154" t="s">
        <v>31</v>
      </c>
      <c r="F154">
        <v>1</v>
      </c>
      <c r="G154">
        <v>7.3</v>
      </c>
      <c r="H154">
        <v>0</v>
      </c>
      <c r="I154">
        <v>66</v>
      </c>
      <c r="J154">
        <v>1600</v>
      </c>
      <c r="K154" t="s">
        <v>31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2">
      <c r="A155">
        <v>34</v>
      </c>
      <c r="B155">
        <v>7053</v>
      </c>
      <c r="C155" s="1">
        <v>44715</v>
      </c>
      <c r="D155" s="2">
        <v>0.44513888888888892</v>
      </c>
      <c r="E155" t="s">
        <v>71</v>
      </c>
      <c r="F155">
        <v>1</v>
      </c>
      <c r="G155">
        <v>4</v>
      </c>
      <c r="H155">
        <v>100</v>
      </c>
      <c r="I155">
        <v>63.5</v>
      </c>
      <c r="J155">
        <v>1600</v>
      </c>
      <c r="K155" t="s">
        <v>71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x14ac:dyDescent="0.2">
      <c r="A156">
        <v>128</v>
      </c>
      <c r="B156">
        <v>7322</v>
      </c>
      <c r="C156" s="1">
        <v>45071</v>
      </c>
      <c r="D156" s="2">
        <v>0.37986111111111115</v>
      </c>
      <c r="E156" t="s">
        <v>146</v>
      </c>
      <c r="F156">
        <v>3</v>
      </c>
      <c r="G156">
        <v>7</v>
      </c>
      <c r="H156">
        <v>100</v>
      </c>
      <c r="I156">
        <v>62.5</v>
      </c>
      <c r="J156">
        <f>2100-500</f>
        <v>1600</v>
      </c>
      <c r="K156" t="s">
        <v>146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x14ac:dyDescent="0.2">
      <c r="A157">
        <v>226</v>
      </c>
      <c r="B157">
        <v>7283</v>
      </c>
      <c r="C157" s="1">
        <v>45092</v>
      </c>
      <c r="D157" s="2">
        <v>0.41736111111111113</v>
      </c>
      <c r="E157" t="s">
        <v>264</v>
      </c>
      <c r="F157">
        <v>4</v>
      </c>
      <c r="G157">
        <v>10.1</v>
      </c>
      <c r="H157">
        <v>100</v>
      </c>
      <c r="I157">
        <v>58.5</v>
      </c>
      <c r="J157">
        <f>2100-500</f>
        <v>1600</v>
      </c>
      <c r="K157" t="s">
        <v>264</v>
      </c>
      <c r="L157" t="s">
        <v>265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x14ac:dyDescent="0.2">
      <c r="A158">
        <v>225</v>
      </c>
      <c r="B158">
        <v>7635</v>
      </c>
      <c r="C158" s="1">
        <v>45092</v>
      </c>
      <c r="D158" s="2">
        <v>0.40763888888888888</v>
      </c>
      <c r="E158" t="s">
        <v>262</v>
      </c>
      <c r="F158">
        <v>4</v>
      </c>
      <c r="G158">
        <v>9.1</v>
      </c>
      <c r="H158">
        <v>0</v>
      </c>
      <c r="I158">
        <v>57</v>
      </c>
      <c r="J158">
        <f>2100-500</f>
        <v>1600</v>
      </c>
      <c r="K158" t="s">
        <v>262</v>
      </c>
      <c r="L158" t="s">
        <v>263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2">
      <c r="A159">
        <v>59</v>
      </c>
      <c r="B159">
        <v>7377</v>
      </c>
      <c r="C159" s="1">
        <v>44734</v>
      </c>
      <c r="D159" s="2">
        <v>0.38750000000000001</v>
      </c>
      <c r="E159" t="s">
        <v>57</v>
      </c>
      <c r="F159">
        <v>3</v>
      </c>
      <c r="G159">
        <v>7</v>
      </c>
      <c r="H159">
        <v>100</v>
      </c>
      <c r="I159">
        <v>65</v>
      </c>
      <c r="J159">
        <v>1550</v>
      </c>
      <c r="K159" t="s">
        <v>57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x14ac:dyDescent="0.2">
      <c r="A160">
        <v>26</v>
      </c>
      <c r="B160">
        <v>7206</v>
      </c>
      <c r="C160" s="1">
        <v>44713</v>
      </c>
      <c r="D160" s="2">
        <v>0.45555555555555555</v>
      </c>
      <c r="E160" t="s">
        <v>95</v>
      </c>
      <c r="F160">
        <v>3</v>
      </c>
      <c r="G160">
        <v>8.9</v>
      </c>
      <c r="H160">
        <v>0</v>
      </c>
      <c r="I160">
        <v>60</v>
      </c>
      <c r="J160">
        <v>1550</v>
      </c>
      <c r="K160" t="s">
        <v>95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2">
      <c r="A161">
        <v>4</v>
      </c>
      <c r="B161">
        <v>7197</v>
      </c>
      <c r="C161" s="1">
        <v>44712</v>
      </c>
      <c r="D161" s="2">
        <v>0.49513888888888885</v>
      </c>
      <c r="E161" t="s">
        <v>100</v>
      </c>
      <c r="F161">
        <v>2</v>
      </c>
      <c r="G161">
        <v>7.7</v>
      </c>
      <c r="H161">
        <v>0</v>
      </c>
      <c r="I161">
        <v>59</v>
      </c>
      <c r="J161">
        <v>1550</v>
      </c>
      <c r="K161" t="s">
        <v>100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x14ac:dyDescent="0.2">
      <c r="A162">
        <v>149</v>
      </c>
      <c r="B162">
        <v>7508</v>
      </c>
      <c r="C162" s="1">
        <v>45073</v>
      </c>
      <c r="D162" s="2">
        <v>0.49236111111111108</v>
      </c>
      <c r="E162" t="s">
        <v>164</v>
      </c>
      <c r="F162">
        <v>1</v>
      </c>
      <c r="G162">
        <v>6.4</v>
      </c>
      <c r="H162">
        <v>0</v>
      </c>
      <c r="I162">
        <v>58</v>
      </c>
      <c r="J162">
        <f>2050-500</f>
        <v>1550</v>
      </c>
      <c r="K162" t="s">
        <v>164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2">
      <c r="A163">
        <v>159</v>
      </c>
      <c r="B163">
        <v>7417</v>
      </c>
      <c r="C163" s="1">
        <v>45077</v>
      </c>
      <c r="D163" s="2">
        <v>0.41805555555555557</v>
      </c>
      <c r="E163" t="s">
        <v>184</v>
      </c>
      <c r="F163">
        <v>1</v>
      </c>
      <c r="G163">
        <v>10</v>
      </c>
      <c r="H163">
        <v>100</v>
      </c>
      <c r="I163">
        <v>59.5</v>
      </c>
      <c r="J163">
        <f>2000-500</f>
        <v>1500</v>
      </c>
      <c r="K163" t="s">
        <v>184</v>
      </c>
      <c r="L163" t="s">
        <v>185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2">
      <c r="A164">
        <v>64</v>
      </c>
      <c r="B164">
        <v>7382</v>
      </c>
      <c r="C164" s="1">
        <v>44734</v>
      </c>
      <c r="D164" s="2">
        <v>0.45555555555555555</v>
      </c>
      <c r="E164" t="s">
        <v>62</v>
      </c>
      <c r="F164">
        <v>3</v>
      </c>
      <c r="G164">
        <v>5</v>
      </c>
      <c r="H164">
        <v>100</v>
      </c>
      <c r="I164">
        <v>59</v>
      </c>
      <c r="J164">
        <v>1500</v>
      </c>
      <c r="K164" t="s">
        <v>62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x14ac:dyDescent="0.2">
      <c r="A165">
        <v>119</v>
      </c>
      <c r="B165">
        <v>7606</v>
      </c>
      <c r="C165" s="1">
        <v>45070</v>
      </c>
      <c r="D165" s="2">
        <v>0.41041666666666665</v>
      </c>
      <c r="E165" t="s">
        <v>139</v>
      </c>
      <c r="F165">
        <v>2</v>
      </c>
      <c r="G165">
        <v>7.4</v>
      </c>
      <c r="H165">
        <v>0</v>
      </c>
      <c r="I165">
        <v>58</v>
      </c>
      <c r="J165">
        <f>2000-500</f>
        <v>1500</v>
      </c>
      <c r="K165" t="s">
        <v>139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2">
      <c r="A166">
        <v>39</v>
      </c>
      <c r="B166">
        <v>7468</v>
      </c>
      <c r="C166" s="1">
        <v>44715</v>
      </c>
      <c r="D166" s="2">
        <v>0.39861111111111108</v>
      </c>
      <c r="E166" t="s">
        <v>75</v>
      </c>
      <c r="F166">
        <v>1</v>
      </c>
      <c r="G166">
        <v>6.4</v>
      </c>
      <c r="H166">
        <v>0</v>
      </c>
      <c r="I166">
        <v>62.5</v>
      </c>
      <c r="J166">
        <v>1450</v>
      </c>
      <c r="K166" t="s">
        <v>75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2">
      <c r="A167">
        <v>65</v>
      </c>
      <c r="B167">
        <v>7569</v>
      </c>
      <c r="C167" s="1">
        <v>44734</v>
      </c>
      <c r="D167" s="2">
        <v>0.45555555555555555</v>
      </c>
      <c r="E167" t="s">
        <v>62</v>
      </c>
      <c r="F167">
        <v>3</v>
      </c>
      <c r="G167">
        <v>5</v>
      </c>
      <c r="H167">
        <v>0</v>
      </c>
      <c r="I167">
        <v>61.5</v>
      </c>
      <c r="J167">
        <v>1450</v>
      </c>
      <c r="K167" t="s">
        <v>62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x14ac:dyDescent="0.2">
      <c r="A168">
        <v>127</v>
      </c>
      <c r="B168">
        <v>7486</v>
      </c>
      <c r="C168" s="1">
        <v>45071</v>
      </c>
      <c r="D168" s="2">
        <v>0.38194444444444442</v>
      </c>
      <c r="E168" t="s">
        <v>146</v>
      </c>
      <c r="F168">
        <v>3</v>
      </c>
      <c r="G168">
        <v>7</v>
      </c>
      <c r="H168">
        <v>0</v>
      </c>
      <c r="I168">
        <v>61</v>
      </c>
      <c r="J168">
        <f>1950-500</f>
        <v>1450</v>
      </c>
      <c r="K168" t="s">
        <v>146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x14ac:dyDescent="0.2">
      <c r="A169">
        <v>191</v>
      </c>
      <c r="B169">
        <v>7262</v>
      </c>
      <c r="C169" s="1">
        <v>45084</v>
      </c>
      <c r="D169" s="2">
        <v>0.38194444444444442</v>
      </c>
      <c r="E169" t="s">
        <v>131</v>
      </c>
      <c r="F169">
        <v>3</v>
      </c>
      <c r="H169">
        <v>100</v>
      </c>
      <c r="I169">
        <v>60</v>
      </c>
      <c r="J169">
        <f>1950-500</f>
        <v>1450</v>
      </c>
      <c r="K169" t="s">
        <v>131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x14ac:dyDescent="0.2">
      <c r="A170">
        <v>179</v>
      </c>
      <c r="B170">
        <v>7429</v>
      </c>
      <c r="C170" s="1">
        <v>45079</v>
      </c>
      <c r="D170" s="2">
        <v>0.47916666666666669</v>
      </c>
      <c r="E170" t="s">
        <v>210</v>
      </c>
      <c r="F170">
        <v>4</v>
      </c>
      <c r="H170">
        <v>100</v>
      </c>
      <c r="I170">
        <v>60</v>
      </c>
      <c r="J170">
        <f>1950-500</f>
        <v>1450</v>
      </c>
      <c r="K170" t="s">
        <v>210</v>
      </c>
      <c r="L170" t="s">
        <v>175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x14ac:dyDescent="0.2">
      <c r="A171">
        <v>132</v>
      </c>
      <c r="B171">
        <v>7325</v>
      </c>
      <c r="C171" s="1">
        <v>45071</v>
      </c>
      <c r="D171" s="2">
        <v>0.44791666666666669</v>
      </c>
      <c r="E171" t="s">
        <v>150</v>
      </c>
      <c r="F171">
        <v>3</v>
      </c>
      <c r="G171">
        <v>5</v>
      </c>
      <c r="H171">
        <v>100</v>
      </c>
      <c r="I171">
        <v>58.5</v>
      </c>
      <c r="J171">
        <f>1950-500</f>
        <v>1450</v>
      </c>
      <c r="K171" t="s">
        <v>150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x14ac:dyDescent="0.2">
      <c r="A172">
        <v>215</v>
      </c>
      <c r="B172">
        <v>7612</v>
      </c>
      <c r="C172" s="1">
        <v>45086</v>
      </c>
      <c r="D172" s="2">
        <v>0.43402777777777773</v>
      </c>
      <c r="E172" t="s">
        <v>243</v>
      </c>
      <c r="F172">
        <v>1</v>
      </c>
      <c r="H172">
        <v>0</v>
      </c>
      <c r="I172">
        <v>58.5</v>
      </c>
      <c r="J172">
        <f>1950-500</f>
        <v>1450</v>
      </c>
      <c r="K172" t="s">
        <v>243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2">
      <c r="A173">
        <v>170</v>
      </c>
      <c r="B173">
        <v>7512</v>
      </c>
      <c r="C173" s="1">
        <v>45078</v>
      </c>
      <c r="D173" s="2">
        <v>0.44236111111111115</v>
      </c>
      <c r="E173" t="s">
        <v>197</v>
      </c>
      <c r="F173">
        <v>3</v>
      </c>
      <c r="H173">
        <v>0</v>
      </c>
      <c r="I173">
        <v>55</v>
      </c>
      <c r="J173">
        <f>1950-500</f>
        <v>1450</v>
      </c>
      <c r="K173" t="s">
        <v>197</v>
      </c>
      <c r="L173" t="s">
        <v>198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x14ac:dyDescent="0.2">
      <c r="A174">
        <v>79</v>
      </c>
      <c r="B174">
        <v>7389</v>
      </c>
      <c r="C174" s="1">
        <v>44735</v>
      </c>
      <c r="D174" s="2">
        <v>0.49374999999999997</v>
      </c>
      <c r="E174" t="s">
        <v>47</v>
      </c>
      <c r="F174">
        <v>4</v>
      </c>
      <c r="G174">
        <v>9.6</v>
      </c>
      <c r="H174">
        <v>100</v>
      </c>
      <c r="I174">
        <v>62</v>
      </c>
      <c r="J174">
        <v>1400</v>
      </c>
      <c r="K174" t="s">
        <v>47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x14ac:dyDescent="0.2">
      <c r="A175">
        <v>56</v>
      </c>
      <c r="B175">
        <v>7562</v>
      </c>
      <c r="C175" s="1">
        <v>44734</v>
      </c>
      <c r="D175" s="2">
        <v>0.39930555555555558</v>
      </c>
      <c r="E175" t="s">
        <v>55</v>
      </c>
      <c r="F175">
        <v>3</v>
      </c>
      <c r="G175">
        <v>10</v>
      </c>
      <c r="H175">
        <v>0</v>
      </c>
      <c r="I175">
        <v>61.5</v>
      </c>
      <c r="J175">
        <v>1400</v>
      </c>
      <c r="K175" t="s">
        <v>55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x14ac:dyDescent="0.2">
      <c r="A176">
        <v>36</v>
      </c>
      <c r="B176">
        <v>7469</v>
      </c>
      <c r="C176" s="1">
        <v>44715</v>
      </c>
      <c r="D176" s="2">
        <v>0.4381944444444445</v>
      </c>
      <c r="E176" t="s">
        <v>73</v>
      </c>
      <c r="F176">
        <v>1</v>
      </c>
      <c r="G176">
        <v>9.6</v>
      </c>
      <c r="H176">
        <v>0</v>
      </c>
      <c r="I176">
        <v>60</v>
      </c>
      <c r="J176">
        <v>1400</v>
      </c>
      <c r="K176" t="s">
        <v>73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x14ac:dyDescent="0.2">
      <c r="A177">
        <v>118</v>
      </c>
      <c r="B177">
        <v>7315</v>
      </c>
      <c r="C177" s="1">
        <v>45070</v>
      </c>
      <c r="D177" s="2">
        <v>0.3923611111111111</v>
      </c>
      <c r="E177" t="s">
        <v>138</v>
      </c>
      <c r="F177">
        <v>2</v>
      </c>
      <c r="G177">
        <v>6.8</v>
      </c>
      <c r="H177">
        <v>100</v>
      </c>
      <c r="I177">
        <v>59.5</v>
      </c>
      <c r="J177">
        <f>1900-500</f>
        <v>1400</v>
      </c>
      <c r="K177" t="s">
        <v>138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x14ac:dyDescent="0.2">
      <c r="A178">
        <v>221</v>
      </c>
      <c r="B178">
        <v>7616</v>
      </c>
      <c r="C178" s="1">
        <v>45091</v>
      </c>
      <c r="D178" s="2">
        <v>0.46597222222222223</v>
      </c>
      <c r="E178" t="s">
        <v>253</v>
      </c>
      <c r="F178">
        <v>3</v>
      </c>
      <c r="G178">
        <v>8.6999999999999993</v>
      </c>
      <c r="H178">
        <v>0</v>
      </c>
      <c r="I178">
        <v>59</v>
      </c>
      <c r="J178">
        <f>1900-500</f>
        <v>1400</v>
      </c>
      <c r="K178" t="s">
        <v>253</v>
      </c>
      <c r="L178" t="s">
        <v>254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x14ac:dyDescent="0.2">
      <c r="A179">
        <v>199</v>
      </c>
      <c r="B179">
        <v>7267</v>
      </c>
      <c r="C179" s="1">
        <v>45084</v>
      </c>
      <c r="D179" s="2">
        <v>0.45277777777777778</v>
      </c>
      <c r="E179" t="s">
        <v>229</v>
      </c>
      <c r="F179">
        <v>3</v>
      </c>
      <c r="H179">
        <v>100</v>
      </c>
      <c r="I179">
        <v>58.5</v>
      </c>
      <c r="J179">
        <f>1900-500</f>
        <v>1400</v>
      </c>
      <c r="K179" t="s">
        <v>229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x14ac:dyDescent="0.2">
      <c r="A180">
        <v>78</v>
      </c>
      <c r="B180">
        <v>7575</v>
      </c>
      <c r="C180" s="1">
        <v>44735</v>
      </c>
      <c r="D180" s="2">
        <v>0.4381944444444445</v>
      </c>
      <c r="E180" t="s">
        <v>46</v>
      </c>
      <c r="F180">
        <v>4</v>
      </c>
      <c r="G180">
        <v>9.6999999999999993</v>
      </c>
      <c r="H180">
        <v>0</v>
      </c>
      <c r="I180">
        <v>58.5</v>
      </c>
      <c r="J180">
        <v>1400</v>
      </c>
      <c r="K180" t="s">
        <v>46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x14ac:dyDescent="0.2">
      <c r="A181">
        <v>71</v>
      </c>
      <c r="B181">
        <v>7391</v>
      </c>
      <c r="C181" s="1">
        <v>44735</v>
      </c>
      <c r="D181" s="2">
        <v>0.52430555555555558</v>
      </c>
      <c r="E181" t="s">
        <v>40</v>
      </c>
      <c r="F181">
        <v>4</v>
      </c>
      <c r="G181">
        <v>9.5</v>
      </c>
      <c r="H181">
        <v>100</v>
      </c>
      <c r="I181">
        <v>57.5</v>
      </c>
      <c r="J181">
        <v>1400</v>
      </c>
      <c r="K181" t="s">
        <v>40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2">
      <c r="A182">
        <v>137</v>
      </c>
      <c r="B182">
        <v>7492</v>
      </c>
      <c r="C182" s="1">
        <v>45072</v>
      </c>
      <c r="D182" s="2">
        <v>0.4604166666666667</v>
      </c>
      <c r="E182" t="s">
        <v>155</v>
      </c>
      <c r="F182">
        <v>4</v>
      </c>
      <c r="G182">
        <v>5.5</v>
      </c>
      <c r="H182">
        <v>0</v>
      </c>
      <c r="I182">
        <v>57</v>
      </c>
      <c r="J182">
        <f>1900-500</f>
        <v>1400</v>
      </c>
      <c r="K182" t="s">
        <v>155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x14ac:dyDescent="0.2">
      <c r="A183">
        <v>223</v>
      </c>
      <c r="B183">
        <v>7617</v>
      </c>
      <c r="C183" s="1">
        <v>45091</v>
      </c>
      <c r="D183" s="2">
        <v>0.5</v>
      </c>
      <c r="E183" t="s">
        <v>256</v>
      </c>
      <c r="F183">
        <v>3</v>
      </c>
      <c r="G183">
        <v>9.6999999999999993</v>
      </c>
      <c r="H183">
        <v>0</v>
      </c>
      <c r="I183">
        <v>57</v>
      </c>
      <c r="J183">
        <f>1900-500</f>
        <v>1400</v>
      </c>
      <c r="K183" t="s">
        <v>256</v>
      </c>
      <c r="L183" t="s">
        <v>257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x14ac:dyDescent="0.2">
      <c r="A184">
        <v>120</v>
      </c>
      <c r="B184">
        <v>7316</v>
      </c>
      <c r="C184" s="1">
        <v>45070</v>
      </c>
      <c r="D184" s="2">
        <v>0.41666666666666669</v>
      </c>
      <c r="E184" t="s">
        <v>140</v>
      </c>
      <c r="F184">
        <v>2</v>
      </c>
      <c r="G184">
        <v>10.1</v>
      </c>
      <c r="H184">
        <v>100</v>
      </c>
      <c r="I184">
        <v>53</v>
      </c>
      <c r="J184">
        <f>1900-500</f>
        <v>1400</v>
      </c>
      <c r="K184" t="s">
        <v>140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x14ac:dyDescent="0.2">
      <c r="A185">
        <v>68</v>
      </c>
      <c r="B185">
        <v>7387</v>
      </c>
      <c r="C185" s="1">
        <v>44735</v>
      </c>
      <c r="D185" s="2">
        <v>0.46527777777777773</v>
      </c>
      <c r="E185" t="s">
        <v>39</v>
      </c>
      <c r="F185">
        <v>4</v>
      </c>
      <c r="G185">
        <v>10.199999999999999</v>
      </c>
      <c r="H185">
        <v>100</v>
      </c>
      <c r="I185">
        <v>64</v>
      </c>
      <c r="J185">
        <v>1350</v>
      </c>
      <c r="K185" t="s">
        <v>39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x14ac:dyDescent="0.2">
      <c r="A186">
        <v>203</v>
      </c>
      <c r="B186">
        <v>7271</v>
      </c>
      <c r="C186" s="1">
        <v>45084</v>
      </c>
      <c r="D186" s="2">
        <v>0.48819444444444443</v>
      </c>
      <c r="E186" t="s">
        <v>232</v>
      </c>
      <c r="F186">
        <v>3</v>
      </c>
      <c r="H186">
        <v>100</v>
      </c>
      <c r="I186">
        <v>61</v>
      </c>
      <c r="J186">
        <f>1850-500</f>
        <v>1350</v>
      </c>
      <c r="K186" t="s">
        <v>232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x14ac:dyDescent="0.2">
      <c r="A187">
        <v>69</v>
      </c>
      <c r="B187">
        <v>7576</v>
      </c>
      <c r="C187" s="1">
        <v>44735</v>
      </c>
      <c r="D187" s="2">
        <v>0.46527777777777773</v>
      </c>
      <c r="E187" t="s">
        <v>39</v>
      </c>
      <c r="F187">
        <v>4</v>
      </c>
      <c r="G187">
        <v>10.199999999999999</v>
      </c>
      <c r="H187">
        <v>0</v>
      </c>
      <c r="I187">
        <v>61</v>
      </c>
      <c r="J187">
        <v>1350</v>
      </c>
      <c r="K187" t="s">
        <v>39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x14ac:dyDescent="0.2">
      <c r="A188">
        <v>74</v>
      </c>
      <c r="B188">
        <v>7578</v>
      </c>
      <c r="C188" s="1">
        <v>44735</v>
      </c>
      <c r="D188" s="2">
        <v>0.51041666666666663</v>
      </c>
      <c r="E188" t="s">
        <v>43</v>
      </c>
      <c r="F188">
        <v>4</v>
      </c>
      <c r="G188">
        <v>9.5</v>
      </c>
      <c r="H188">
        <v>0</v>
      </c>
      <c r="I188">
        <v>59.5</v>
      </c>
      <c r="J188">
        <v>1350</v>
      </c>
      <c r="K188" t="s">
        <v>43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x14ac:dyDescent="0.2">
      <c r="A189">
        <v>25</v>
      </c>
      <c r="B189">
        <v>7041</v>
      </c>
      <c r="C189" s="1">
        <v>44713</v>
      </c>
      <c r="D189" s="2">
        <v>0.41666666666666669</v>
      </c>
      <c r="E189" t="s">
        <v>94</v>
      </c>
      <c r="F189">
        <v>3</v>
      </c>
      <c r="G189">
        <v>4.7</v>
      </c>
      <c r="H189">
        <v>100</v>
      </c>
      <c r="I189">
        <v>59</v>
      </c>
      <c r="J189">
        <v>1350</v>
      </c>
      <c r="K189" t="s">
        <v>94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x14ac:dyDescent="0.2">
      <c r="A190">
        <v>54</v>
      </c>
      <c r="B190">
        <v>7379</v>
      </c>
      <c r="C190" s="1">
        <v>44734</v>
      </c>
      <c r="D190" s="2">
        <v>0.40486111111111112</v>
      </c>
      <c r="E190" t="s">
        <v>54</v>
      </c>
      <c r="F190">
        <v>3</v>
      </c>
      <c r="G190">
        <v>9.4</v>
      </c>
      <c r="H190">
        <v>100</v>
      </c>
      <c r="I190">
        <v>59</v>
      </c>
      <c r="J190">
        <v>1350</v>
      </c>
      <c r="K190" t="s">
        <v>54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x14ac:dyDescent="0.2">
      <c r="A191">
        <v>33</v>
      </c>
      <c r="B191">
        <v>7048</v>
      </c>
      <c r="C191" s="1">
        <v>44714</v>
      </c>
      <c r="D191" s="2">
        <v>0.46180555555555558</v>
      </c>
      <c r="E191" t="s">
        <v>83</v>
      </c>
      <c r="F191">
        <v>4</v>
      </c>
      <c r="G191">
        <v>4.8</v>
      </c>
      <c r="H191">
        <v>100</v>
      </c>
      <c r="I191">
        <v>55</v>
      </c>
      <c r="J191">
        <v>1350</v>
      </c>
      <c r="K191" t="s">
        <v>83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x14ac:dyDescent="0.2">
      <c r="A192">
        <v>110</v>
      </c>
      <c r="B192">
        <v>7600</v>
      </c>
      <c r="C192" s="1">
        <v>44862</v>
      </c>
      <c r="D192" s="2">
        <v>0.3972222222222222</v>
      </c>
      <c r="E192" t="s">
        <v>14</v>
      </c>
      <c r="F192">
        <v>1</v>
      </c>
      <c r="G192">
        <v>7.2</v>
      </c>
      <c r="H192">
        <v>0</v>
      </c>
      <c r="I192">
        <v>62.9</v>
      </c>
      <c r="J192">
        <v>1300</v>
      </c>
      <c r="K192" t="s">
        <v>14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2">
      <c r="A193">
        <v>192</v>
      </c>
      <c r="B193">
        <v>7526</v>
      </c>
      <c r="C193" s="1">
        <v>45084</v>
      </c>
      <c r="D193" s="2">
        <v>0.39999999999999997</v>
      </c>
      <c r="E193" t="s">
        <v>224</v>
      </c>
      <c r="F193">
        <v>3</v>
      </c>
      <c r="H193">
        <v>0</v>
      </c>
      <c r="I193">
        <v>59</v>
      </c>
      <c r="J193">
        <f>1800-500</f>
        <v>1300</v>
      </c>
      <c r="K193" t="s">
        <v>224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2">
      <c r="A194">
        <v>89</v>
      </c>
      <c r="B194">
        <v>7585</v>
      </c>
      <c r="C194" s="1">
        <v>44736</v>
      </c>
      <c r="D194" s="2">
        <v>0.37777777777777777</v>
      </c>
      <c r="E194" t="s">
        <v>33</v>
      </c>
      <c r="F194">
        <v>1</v>
      </c>
      <c r="G194">
        <v>8.6</v>
      </c>
      <c r="H194">
        <v>0</v>
      </c>
      <c r="I194">
        <v>59</v>
      </c>
      <c r="J194">
        <v>1300</v>
      </c>
      <c r="K194" t="s">
        <v>33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2">
      <c r="A195">
        <v>210</v>
      </c>
      <c r="B195">
        <v>7275</v>
      </c>
      <c r="C195" s="1">
        <v>45085</v>
      </c>
      <c r="D195" s="2">
        <v>0.44236111111111115</v>
      </c>
      <c r="E195" t="s">
        <v>238</v>
      </c>
      <c r="F195">
        <v>4</v>
      </c>
      <c r="H195">
        <v>100</v>
      </c>
      <c r="I195">
        <v>57</v>
      </c>
      <c r="J195">
        <f>1800-500</f>
        <v>1300</v>
      </c>
      <c r="K195" t="s">
        <v>238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2">
      <c r="A196">
        <v>87</v>
      </c>
      <c r="B196">
        <v>7398</v>
      </c>
      <c r="C196" s="1">
        <v>44736</v>
      </c>
      <c r="D196" s="2">
        <v>0.41180555555555554</v>
      </c>
      <c r="E196" t="s">
        <v>32</v>
      </c>
      <c r="F196">
        <v>1</v>
      </c>
      <c r="G196">
        <v>7.6</v>
      </c>
      <c r="H196">
        <v>100</v>
      </c>
      <c r="I196">
        <v>56.5</v>
      </c>
      <c r="J196">
        <v>1300</v>
      </c>
      <c r="K196" t="s">
        <v>32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2">
      <c r="A197">
        <v>144</v>
      </c>
      <c r="B197">
        <v>7331</v>
      </c>
      <c r="C197" s="1">
        <v>45073</v>
      </c>
      <c r="D197" s="2">
        <v>0.4458333333333333</v>
      </c>
      <c r="E197" t="s">
        <v>160</v>
      </c>
      <c r="F197">
        <v>1</v>
      </c>
      <c r="G197">
        <v>9.9</v>
      </c>
      <c r="H197">
        <v>100</v>
      </c>
      <c r="I197">
        <v>56</v>
      </c>
      <c r="J197">
        <f>1800-500</f>
        <v>1300</v>
      </c>
      <c r="K197" t="s">
        <v>160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2">
      <c r="A198">
        <v>158</v>
      </c>
      <c r="B198">
        <v>7502</v>
      </c>
      <c r="C198" s="1">
        <v>45077</v>
      </c>
      <c r="D198" s="2">
        <v>0.41319444444444442</v>
      </c>
      <c r="E198" t="s">
        <v>182</v>
      </c>
      <c r="F198">
        <v>1</v>
      </c>
      <c r="G198">
        <v>7.1</v>
      </c>
      <c r="H198">
        <v>0</v>
      </c>
      <c r="I198">
        <v>56</v>
      </c>
      <c r="J198">
        <f>1800-500</f>
        <v>1300</v>
      </c>
      <c r="K198" t="s">
        <v>182</v>
      </c>
      <c r="L198" t="s">
        <v>183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2">
      <c r="A199">
        <v>219</v>
      </c>
      <c r="B199">
        <v>7614</v>
      </c>
      <c r="C199" s="1">
        <v>45091</v>
      </c>
      <c r="D199" s="2">
        <v>0.43402777777777773</v>
      </c>
      <c r="E199" t="s">
        <v>249</v>
      </c>
      <c r="F199">
        <v>3</v>
      </c>
      <c r="G199">
        <v>10.199999999999999</v>
      </c>
      <c r="H199">
        <v>0</v>
      </c>
      <c r="I199">
        <v>54</v>
      </c>
      <c r="J199">
        <f>1800-500</f>
        <v>1300</v>
      </c>
      <c r="K199" t="s">
        <v>249</v>
      </c>
      <c r="L199" t="s">
        <v>250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2">
      <c r="A200">
        <v>133</v>
      </c>
      <c r="B200">
        <v>7489</v>
      </c>
      <c r="C200" s="1">
        <v>45072</v>
      </c>
      <c r="D200" s="2">
        <v>0.39583333333333331</v>
      </c>
      <c r="E200" t="s">
        <v>151</v>
      </c>
      <c r="F200">
        <v>4</v>
      </c>
      <c r="G200">
        <v>5.0999999999999996</v>
      </c>
      <c r="H200">
        <v>0</v>
      </c>
      <c r="I200">
        <v>59.5</v>
      </c>
      <c r="J200">
        <f>1750-500</f>
        <v>1250</v>
      </c>
      <c r="K200" t="s">
        <v>151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2">
      <c r="A201">
        <v>75</v>
      </c>
      <c r="B201">
        <v>7390</v>
      </c>
      <c r="C201" s="1">
        <v>44735</v>
      </c>
      <c r="D201" s="2">
        <v>0.51874999999999993</v>
      </c>
      <c r="E201" t="s">
        <v>44</v>
      </c>
      <c r="F201">
        <v>4</v>
      </c>
      <c r="G201">
        <v>9.6999999999999993</v>
      </c>
      <c r="H201">
        <v>100</v>
      </c>
      <c r="I201">
        <v>58</v>
      </c>
      <c r="J201">
        <v>1250</v>
      </c>
      <c r="K201" t="s">
        <v>44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2">
      <c r="A202">
        <v>165</v>
      </c>
      <c r="B202">
        <v>7422</v>
      </c>
      <c r="C202" s="1">
        <v>45078</v>
      </c>
      <c r="E202" t="s">
        <v>192</v>
      </c>
      <c r="F202">
        <v>3</v>
      </c>
      <c r="H202">
        <v>100</v>
      </c>
      <c r="I202">
        <v>57</v>
      </c>
      <c r="J202">
        <f>1750-500</f>
        <v>1250</v>
      </c>
      <c r="K202" t="s">
        <v>192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2">
      <c r="A203">
        <v>194</v>
      </c>
      <c r="B203">
        <v>7527</v>
      </c>
      <c r="C203" s="1">
        <v>45084</v>
      </c>
      <c r="D203" s="2">
        <v>0.41111111111111115</v>
      </c>
      <c r="E203" t="s">
        <v>225</v>
      </c>
      <c r="F203">
        <v>3</v>
      </c>
      <c r="H203">
        <v>0</v>
      </c>
      <c r="I203">
        <v>55</v>
      </c>
      <c r="J203">
        <f>1750-500</f>
        <v>1250</v>
      </c>
      <c r="K203" t="s">
        <v>225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2">
      <c r="A204">
        <v>224</v>
      </c>
      <c r="B204">
        <v>7282</v>
      </c>
      <c r="C204" s="1">
        <v>45092</v>
      </c>
      <c r="D204" s="2">
        <v>0.39930555555555558</v>
      </c>
      <c r="E204" t="s">
        <v>260</v>
      </c>
      <c r="F204">
        <v>4</v>
      </c>
      <c r="G204">
        <v>10</v>
      </c>
      <c r="H204">
        <v>100</v>
      </c>
      <c r="I204">
        <v>54.5</v>
      </c>
      <c r="J204">
        <f>1750-500</f>
        <v>1250</v>
      </c>
      <c r="K204" t="s">
        <v>260</v>
      </c>
      <c r="L204" t="s">
        <v>261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x14ac:dyDescent="0.2">
      <c r="A205">
        <v>28</v>
      </c>
      <c r="B205">
        <v>7049</v>
      </c>
      <c r="C205" s="1">
        <v>44714</v>
      </c>
      <c r="D205" s="2">
        <v>0.47152777777777777</v>
      </c>
      <c r="E205" t="s">
        <v>77</v>
      </c>
      <c r="F205">
        <v>4</v>
      </c>
      <c r="G205">
        <v>2.9</v>
      </c>
      <c r="H205">
        <v>100</v>
      </c>
      <c r="I205">
        <v>53.5</v>
      </c>
      <c r="J205">
        <v>1250</v>
      </c>
      <c r="K205" t="s">
        <v>77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2">
      <c r="A206">
        <v>218</v>
      </c>
      <c r="B206">
        <v>7279</v>
      </c>
      <c r="C206" s="1">
        <v>45090</v>
      </c>
      <c r="D206" s="2">
        <v>0.42152777777777778</v>
      </c>
      <c r="E206" t="s">
        <v>247</v>
      </c>
      <c r="F206">
        <v>2</v>
      </c>
      <c r="G206">
        <v>9.3000000000000007</v>
      </c>
      <c r="H206">
        <v>100</v>
      </c>
      <c r="I206">
        <v>49.5</v>
      </c>
      <c r="J206">
        <f>1750-500</f>
        <v>1250</v>
      </c>
      <c r="K206" t="s">
        <v>247</v>
      </c>
      <c r="L206" t="s">
        <v>248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2">
      <c r="A207">
        <v>154</v>
      </c>
      <c r="B207">
        <v>7505</v>
      </c>
      <c r="C207" s="1">
        <v>45076</v>
      </c>
      <c r="D207" s="2">
        <v>0.49513888888888885</v>
      </c>
      <c r="E207" t="s">
        <v>171</v>
      </c>
      <c r="F207">
        <v>2</v>
      </c>
      <c r="G207">
        <v>8.1</v>
      </c>
      <c r="H207">
        <v>0</v>
      </c>
      <c r="I207">
        <v>49</v>
      </c>
      <c r="J207">
        <f>1750-500</f>
        <v>1250</v>
      </c>
      <c r="K207" t="s">
        <v>171</v>
      </c>
      <c r="L207" t="s">
        <v>174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2">
      <c r="A208">
        <v>100</v>
      </c>
      <c r="B208">
        <v>7593</v>
      </c>
      <c r="C208" s="1">
        <v>44860</v>
      </c>
      <c r="D208" s="2">
        <v>0.38541666666666669</v>
      </c>
      <c r="E208" t="s">
        <v>22</v>
      </c>
      <c r="F208">
        <v>3</v>
      </c>
      <c r="G208">
        <v>7</v>
      </c>
      <c r="H208">
        <v>0</v>
      </c>
      <c r="I208">
        <v>60.2</v>
      </c>
      <c r="J208">
        <v>1200</v>
      </c>
      <c r="K208" t="s">
        <v>22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x14ac:dyDescent="0.2">
      <c r="A209">
        <v>126</v>
      </c>
      <c r="B209">
        <v>7321</v>
      </c>
      <c r="C209" s="1">
        <v>45070</v>
      </c>
      <c r="D209" s="2">
        <v>0.51041666666666663</v>
      </c>
      <c r="E209" t="s">
        <v>145</v>
      </c>
      <c r="F209">
        <v>2</v>
      </c>
      <c r="G209">
        <v>8.4</v>
      </c>
      <c r="H209">
        <v>100</v>
      </c>
      <c r="I209">
        <v>60</v>
      </c>
      <c r="J209">
        <f>1700-500</f>
        <v>1200</v>
      </c>
      <c r="K209" t="s">
        <v>145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x14ac:dyDescent="0.2">
      <c r="A210">
        <v>112</v>
      </c>
      <c r="B210">
        <v>7601</v>
      </c>
      <c r="C210" s="1">
        <v>44862</v>
      </c>
      <c r="D210" s="2">
        <v>0.40277777777777773</v>
      </c>
      <c r="E210" t="s">
        <v>15</v>
      </c>
      <c r="F210">
        <v>1</v>
      </c>
      <c r="G210">
        <v>5.9</v>
      </c>
      <c r="H210">
        <v>0</v>
      </c>
      <c r="I210">
        <v>59.1</v>
      </c>
      <c r="J210">
        <v>1200</v>
      </c>
      <c r="K210" t="s">
        <v>15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x14ac:dyDescent="0.2">
      <c r="A211">
        <v>188</v>
      </c>
      <c r="B211">
        <v>7524</v>
      </c>
      <c r="C211" s="1">
        <v>45083</v>
      </c>
      <c r="D211" s="2">
        <v>0.4458333333333333</v>
      </c>
      <c r="E211" t="s">
        <v>221</v>
      </c>
      <c r="F211">
        <v>2</v>
      </c>
      <c r="H211">
        <v>0</v>
      </c>
      <c r="I211">
        <v>58</v>
      </c>
      <c r="J211">
        <f>1700-500</f>
        <v>1200</v>
      </c>
      <c r="K211" t="s">
        <v>221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x14ac:dyDescent="0.2">
      <c r="A212">
        <v>83</v>
      </c>
      <c r="B212">
        <v>7393</v>
      </c>
      <c r="C212" s="1">
        <v>44735</v>
      </c>
      <c r="D212" s="2">
        <v>0.54513888888888895</v>
      </c>
      <c r="E212" t="s">
        <v>50</v>
      </c>
      <c r="F212">
        <v>4</v>
      </c>
      <c r="G212">
        <v>9.6999999999999993</v>
      </c>
      <c r="H212">
        <v>100</v>
      </c>
      <c r="I212">
        <v>57</v>
      </c>
      <c r="J212">
        <v>1200</v>
      </c>
      <c r="K212" t="s">
        <v>50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x14ac:dyDescent="0.2">
      <c r="A213">
        <v>167</v>
      </c>
      <c r="B213">
        <v>7423</v>
      </c>
      <c r="C213" s="1">
        <v>45078</v>
      </c>
      <c r="D213" s="2">
        <v>0.41250000000000003</v>
      </c>
      <c r="E213" t="s">
        <v>195</v>
      </c>
      <c r="F213">
        <v>3</v>
      </c>
      <c r="H213">
        <v>100</v>
      </c>
      <c r="I213">
        <v>57</v>
      </c>
      <c r="J213">
        <f>1700-500</f>
        <v>1200</v>
      </c>
      <c r="K213" t="s">
        <v>195</v>
      </c>
      <c r="L213" t="s">
        <v>175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x14ac:dyDescent="0.2">
      <c r="A214">
        <v>201</v>
      </c>
      <c r="B214">
        <v>7531</v>
      </c>
      <c r="C214" s="1">
        <v>45084</v>
      </c>
      <c r="D214" s="2">
        <v>0.4680555555555555</v>
      </c>
      <c r="E214" t="s">
        <v>230</v>
      </c>
      <c r="F214">
        <v>3</v>
      </c>
      <c r="H214">
        <v>0</v>
      </c>
      <c r="I214">
        <v>56</v>
      </c>
      <c r="J214">
        <f>1700-500</f>
        <v>1200</v>
      </c>
      <c r="K214" t="s">
        <v>230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x14ac:dyDescent="0.2">
      <c r="A215">
        <v>206</v>
      </c>
      <c r="B215">
        <v>7533</v>
      </c>
      <c r="C215" s="1">
        <v>45085</v>
      </c>
      <c r="D215" s="2">
        <v>0.38541666666666669</v>
      </c>
      <c r="E215" t="s">
        <v>234</v>
      </c>
      <c r="F215">
        <v>4</v>
      </c>
      <c r="H215">
        <v>0</v>
      </c>
      <c r="I215">
        <v>56</v>
      </c>
      <c r="J215">
        <f>1700-500</f>
        <v>1200</v>
      </c>
      <c r="K215" t="s">
        <v>234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x14ac:dyDescent="0.2">
      <c r="A216">
        <v>227</v>
      </c>
      <c r="B216">
        <v>7634</v>
      </c>
      <c r="C216" s="1">
        <v>45092</v>
      </c>
      <c r="D216" s="2">
        <v>0.44722222222222219</v>
      </c>
      <c r="E216" t="s">
        <v>268</v>
      </c>
      <c r="F216">
        <v>4</v>
      </c>
      <c r="G216">
        <v>9.6</v>
      </c>
      <c r="H216">
        <v>0</v>
      </c>
      <c r="I216">
        <v>55</v>
      </c>
      <c r="J216">
        <f>1700-500</f>
        <v>1200</v>
      </c>
      <c r="K216" t="s">
        <v>268</v>
      </c>
      <c r="L216" t="s">
        <v>269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x14ac:dyDescent="0.2">
      <c r="A217">
        <v>195</v>
      </c>
      <c r="B217">
        <v>7265</v>
      </c>
      <c r="C217" s="1">
        <v>45084</v>
      </c>
      <c r="D217" s="2">
        <v>0.4201388888888889</v>
      </c>
      <c r="E217" t="s">
        <v>226</v>
      </c>
      <c r="F217">
        <v>3</v>
      </c>
      <c r="H217">
        <v>100</v>
      </c>
      <c r="I217">
        <v>54</v>
      </c>
      <c r="J217">
        <f>1700-500</f>
        <v>1200</v>
      </c>
      <c r="K217" t="s">
        <v>226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x14ac:dyDescent="0.2">
      <c r="A218">
        <v>202</v>
      </c>
      <c r="B218">
        <v>7269</v>
      </c>
      <c r="C218" s="1">
        <v>45084</v>
      </c>
      <c r="D218" s="2">
        <v>0.47430555555555554</v>
      </c>
      <c r="E218" t="s">
        <v>231</v>
      </c>
      <c r="F218">
        <v>3</v>
      </c>
      <c r="H218">
        <v>100</v>
      </c>
      <c r="I218">
        <v>53.5</v>
      </c>
      <c r="J218">
        <f>1700-500</f>
        <v>1200</v>
      </c>
      <c r="K218" t="s">
        <v>231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x14ac:dyDescent="0.2">
      <c r="A219">
        <v>50</v>
      </c>
      <c r="B219">
        <v>7561</v>
      </c>
      <c r="C219" s="1">
        <v>44734</v>
      </c>
      <c r="D219" s="2">
        <v>0.38055555555555554</v>
      </c>
      <c r="E219" t="s">
        <v>52</v>
      </c>
      <c r="F219">
        <v>3</v>
      </c>
      <c r="G219">
        <v>9.9</v>
      </c>
      <c r="H219">
        <v>0</v>
      </c>
      <c r="I219">
        <v>60.5</v>
      </c>
      <c r="J219">
        <v>1150</v>
      </c>
      <c r="K219" t="s">
        <v>52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x14ac:dyDescent="0.2">
      <c r="A220">
        <v>152</v>
      </c>
      <c r="B220">
        <v>7414</v>
      </c>
      <c r="C220" s="1">
        <v>45076</v>
      </c>
      <c r="D220" s="2">
        <v>0.4236111111111111</v>
      </c>
      <c r="E220" t="s">
        <v>168</v>
      </c>
      <c r="F220">
        <v>2</v>
      </c>
      <c r="G220">
        <v>8.8000000000000007</v>
      </c>
      <c r="H220">
        <v>100</v>
      </c>
      <c r="I220">
        <v>54</v>
      </c>
      <c r="J220">
        <f>1650-500</f>
        <v>1150</v>
      </c>
      <c r="K220" t="s">
        <v>168</v>
      </c>
      <c r="L220" t="s">
        <v>176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x14ac:dyDescent="0.2">
      <c r="A221">
        <v>172</v>
      </c>
      <c r="B221">
        <v>7513</v>
      </c>
      <c r="C221" s="1">
        <v>45078</v>
      </c>
      <c r="D221" s="2">
        <v>0.46319444444444446</v>
      </c>
      <c r="E221" t="s">
        <v>201</v>
      </c>
      <c r="F221">
        <v>3</v>
      </c>
      <c r="H221">
        <v>0</v>
      </c>
      <c r="I221">
        <v>51</v>
      </c>
      <c r="J221">
        <f>1650-500</f>
        <v>1150</v>
      </c>
      <c r="K221" t="s">
        <v>201</v>
      </c>
      <c r="L221" t="s">
        <v>200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x14ac:dyDescent="0.2">
      <c r="A222">
        <v>24</v>
      </c>
      <c r="B222">
        <v>7463</v>
      </c>
      <c r="C222" s="1">
        <v>44713</v>
      </c>
      <c r="D222" s="2">
        <v>0.50694444444444442</v>
      </c>
      <c r="E222" t="s">
        <v>93</v>
      </c>
      <c r="F222">
        <v>3</v>
      </c>
      <c r="G222">
        <v>10.199999999999999</v>
      </c>
      <c r="H222">
        <v>0</v>
      </c>
      <c r="I222">
        <v>57</v>
      </c>
      <c r="J222">
        <v>1100</v>
      </c>
      <c r="K222" t="s">
        <v>93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x14ac:dyDescent="0.2">
      <c r="A223">
        <v>104</v>
      </c>
      <c r="B223">
        <v>7597</v>
      </c>
      <c r="C223" s="1">
        <v>44861</v>
      </c>
      <c r="D223" s="2">
        <v>0.47500000000000003</v>
      </c>
      <c r="E223" t="s">
        <v>20</v>
      </c>
      <c r="F223">
        <v>4</v>
      </c>
      <c r="G223">
        <v>10</v>
      </c>
      <c r="H223">
        <v>0</v>
      </c>
      <c r="I223">
        <v>54.2</v>
      </c>
      <c r="J223">
        <v>1100</v>
      </c>
      <c r="K223" t="s">
        <v>20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x14ac:dyDescent="0.2">
      <c r="A224">
        <v>180</v>
      </c>
      <c r="B224">
        <v>7520</v>
      </c>
      <c r="C224" s="1">
        <v>45079</v>
      </c>
      <c r="D224" s="2">
        <v>0.47500000000000003</v>
      </c>
      <c r="E224" t="s">
        <v>210</v>
      </c>
      <c r="F224">
        <v>4</v>
      </c>
      <c r="H224">
        <v>0</v>
      </c>
      <c r="I224">
        <v>53</v>
      </c>
      <c r="J224">
        <f>1600-500</f>
        <v>1100</v>
      </c>
      <c r="K224" t="s">
        <v>210</v>
      </c>
      <c r="L224" t="s">
        <v>175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x14ac:dyDescent="0.2">
      <c r="A225">
        <v>222</v>
      </c>
      <c r="B225">
        <v>7281</v>
      </c>
      <c r="C225" s="1">
        <v>45091</v>
      </c>
      <c r="D225" s="2">
        <v>0.47500000000000003</v>
      </c>
      <c r="E225" t="s">
        <v>255</v>
      </c>
      <c r="F225">
        <v>3</v>
      </c>
      <c r="G225">
        <v>10</v>
      </c>
      <c r="H225">
        <v>100</v>
      </c>
      <c r="I225">
        <v>51</v>
      </c>
      <c r="J225">
        <f>1600-500</f>
        <v>1100</v>
      </c>
      <c r="K225" t="s">
        <v>255</v>
      </c>
      <c r="L225" t="s">
        <v>183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x14ac:dyDescent="0.2">
      <c r="A226">
        <v>6</v>
      </c>
      <c r="B226">
        <v>7194</v>
      </c>
      <c r="C226" s="1">
        <v>44712</v>
      </c>
      <c r="D226" s="2">
        <v>0.39097222222222222</v>
      </c>
      <c r="E226" t="s">
        <v>102</v>
      </c>
      <c r="F226">
        <v>2</v>
      </c>
      <c r="G226">
        <v>4.8</v>
      </c>
      <c r="H226">
        <v>0</v>
      </c>
      <c r="I226">
        <v>60.5</v>
      </c>
      <c r="J226">
        <v>1050</v>
      </c>
      <c r="K226" t="s">
        <v>102</v>
      </c>
      <c r="L226" t="s">
        <v>103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x14ac:dyDescent="0.2">
      <c r="A227">
        <v>82</v>
      </c>
      <c r="B227">
        <v>7582</v>
      </c>
      <c r="C227" s="1">
        <v>44735</v>
      </c>
      <c r="D227" s="2">
        <v>0.53541666666666665</v>
      </c>
      <c r="E227" t="s">
        <v>48</v>
      </c>
      <c r="F227">
        <v>4</v>
      </c>
      <c r="G227">
        <v>10</v>
      </c>
      <c r="H227">
        <v>0</v>
      </c>
      <c r="I227">
        <v>56</v>
      </c>
      <c r="J227">
        <v>1050</v>
      </c>
      <c r="K227" t="s">
        <v>48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x14ac:dyDescent="0.2">
      <c r="A228">
        <v>157</v>
      </c>
      <c r="B228">
        <v>7416</v>
      </c>
      <c r="C228" s="1">
        <v>45077</v>
      </c>
      <c r="D228" s="2">
        <v>0.39861111111111108</v>
      </c>
      <c r="E228" t="s">
        <v>180</v>
      </c>
      <c r="F228">
        <v>1</v>
      </c>
      <c r="G228">
        <v>6.5</v>
      </c>
      <c r="H228">
        <v>100</v>
      </c>
      <c r="I228">
        <v>54</v>
      </c>
      <c r="J228">
        <f>1550-500</f>
        <v>1050</v>
      </c>
      <c r="K228" t="s">
        <v>180</v>
      </c>
      <c r="L228" t="s">
        <v>181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x14ac:dyDescent="0.2">
      <c r="A229">
        <v>198</v>
      </c>
      <c r="B229">
        <v>7530</v>
      </c>
      <c r="C229" s="1">
        <v>45084</v>
      </c>
      <c r="D229" s="2">
        <v>0.44791666666666669</v>
      </c>
      <c r="E229" t="s">
        <v>228</v>
      </c>
      <c r="F229">
        <v>3</v>
      </c>
      <c r="H229">
        <v>0</v>
      </c>
      <c r="I229">
        <v>53</v>
      </c>
      <c r="J229">
        <f>1550-500</f>
        <v>1050</v>
      </c>
      <c r="K229" t="s">
        <v>228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x14ac:dyDescent="0.2">
      <c r="A230">
        <v>197</v>
      </c>
      <c r="B230">
        <v>7266</v>
      </c>
      <c r="C230" s="1">
        <v>45084</v>
      </c>
      <c r="D230" s="2">
        <v>0.42986111111111108</v>
      </c>
      <c r="E230" t="s">
        <v>227</v>
      </c>
      <c r="F230">
        <v>3</v>
      </c>
      <c r="H230">
        <v>100</v>
      </c>
      <c r="I230">
        <v>51</v>
      </c>
      <c r="J230">
        <f>1550-500</f>
        <v>1050</v>
      </c>
      <c r="K230" t="s">
        <v>227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x14ac:dyDescent="0.2">
      <c r="A231">
        <v>41</v>
      </c>
      <c r="B231">
        <v>7484</v>
      </c>
      <c r="C231" s="1">
        <v>44733</v>
      </c>
      <c r="D231" s="2">
        <v>0.46527777777777773</v>
      </c>
      <c r="E231" t="s">
        <v>64</v>
      </c>
      <c r="F231">
        <v>2</v>
      </c>
      <c r="G231">
        <v>9.5</v>
      </c>
      <c r="H231">
        <v>0</v>
      </c>
      <c r="I231">
        <v>56</v>
      </c>
      <c r="J231">
        <v>1000</v>
      </c>
      <c r="K231" t="s">
        <v>64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x14ac:dyDescent="0.2">
      <c r="A232">
        <v>107</v>
      </c>
      <c r="B232">
        <v>7407</v>
      </c>
      <c r="C232" s="1">
        <v>44862</v>
      </c>
      <c r="D232" s="2">
        <v>0.37291666666666662</v>
      </c>
      <c r="E232" t="s">
        <v>12</v>
      </c>
      <c r="F232">
        <v>1</v>
      </c>
      <c r="G232">
        <v>2.9</v>
      </c>
      <c r="H232">
        <v>100</v>
      </c>
      <c r="I232">
        <v>56.2</v>
      </c>
      <c r="J232">
        <v>950</v>
      </c>
      <c r="K232" t="s">
        <v>12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x14ac:dyDescent="0.2">
      <c r="A233">
        <v>14</v>
      </c>
      <c r="B233">
        <v>7461</v>
      </c>
      <c r="C233" s="1">
        <v>44713</v>
      </c>
      <c r="D233" s="2">
        <v>0.47569444444444442</v>
      </c>
      <c r="E233" t="s">
        <v>86</v>
      </c>
      <c r="F233">
        <v>3</v>
      </c>
      <c r="G233">
        <v>3.1</v>
      </c>
      <c r="H233">
        <v>0</v>
      </c>
      <c r="I233">
        <v>54</v>
      </c>
      <c r="J233">
        <v>900</v>
      </c>
      <c r="K233" t="s">
        <v>86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x14ac:dyDescent="0.2">
      <c r="A234">
        <v>72</v>
      </c>
      <c r="B234">
        <v>7577</v>
      </c>
      <c r="C234" s="1">
        <v>44735</v>
      </c>
      <c r="D234" s="2">
        <v>0.48749999999999999</v>
      </c>
      <c r="E234" t="s">
        <v>41</v>
      </c>
      <c r="F234">
        <v>4</v>
      </c>
      <c r="G234">
        <v>8.5</v>
      </c>
      <c r="H234">
        <v>0</v>
      </c>
      <c r="I234">
        <v>51.5</v>
      </c>
      <c r="J234">
        <v>900</v>
      </c>
      <c r="K234" t="s">
        <v>41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x14ac:dyDescent="0.2">
      <c r="A235">
        <v>57</v>
      </c>
      <c r="B235">
        <v>7378</v>
      </c>
      <c r="C235" s="1">
        <v>44734</v>
      </c>
      <c r="D235" s="2">
        <v>0.39930555555555558</v>
      </c>
      <c r="E235" t="s">
        <v>55</v>
      </c>
      <c r="F235">
        <v>3</v>
      </c>
      <c r="G235">
        <v>10</v>
      </c>
      <c r="H235">
        <v>100</v>
      </c>
      <c r="I235">
        <v>50</v>
      </c>
      <c r="J235">
        <v>850</v>
      </c>
      <c r="K235" t="s">
        <v>55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x14ac:dyDescent="0.2">
      <c r="A236">
        <v>189</v>
      </c>
      <c r="B236">
        <v>7435</v>
      </c>
      <c r="C236" s="1">
        <v>45083</v>
      </c>
      <c r="D236" s="2">
        <v>0.47222222222222227</v>
      </c>
      <c r="E236" t="s">
        <v>222</v>
      </c>
      <c r="F236">
        <v>2</v>
      </c>
      <c r="H236">
        <v>100</v>
      </c>
      <c r="I236">
        <v>45</v>
      </c>
      <c r="J236">
        <f>1300-500</f>
        <v>800</v>
      </c>
      <c r="K236" t="s">
        <v>222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x14ac:dyDescent="0.2">
      <c r="A237">
        <v>55</v>
      </c>
      <c r="B237">
        <v>7565</v>
      </c>
      <c r="C237" s="1">
        <v>44734</v>
      </c>
      <c r="D237" s="2">
        <v>0.40486111111111112</v>
      </c>
      <c r="E237" t="s">
        <v>54</v>
      </c>
      <c r="F237">
        <v>3</v>
      </c>
      <c r="G237">
        <v>9.4</v>
      </c>
      <c r="H237">
        <v>0</v>
      </c>
      <c r="I237">
        <v>52</v>
      </c>
      <c r="J237">
        <v>700</v>
      </c>
      <c r="K237" t="s">
        <v>54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carp_bb_capture_histories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Hirsch</cp:lastModifiedBy>
  <dcterms:created xsi:type="dcterms:W3CDTF">2023-05-28T14:02:14Z</dcterms:created>
  <dcterms:modified xsi:type="dcterms:W3CDTF">2025-09-03T22:11:50Z</dcterms:modified>
</cp:coreProperties>
</file>