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omineca-tag-rec/bb-omineca-tag-rec/data/raw/"/>
    </mc:Choice>
  </mc:AlternateContent>
  <xr:revisionPtr revIDLastSave="0" documentId="13_ncr:1_{533A92E4-F9F8-1641-9134-0FA9BB8D620C}" xr6:coauthVersionLast="47" xr6:coauthVersionMax="47" xr10:uidLastSave="{00000000-0000-0000-0000-000000000000}"/>
  <bookViews>
    <workbookView xWindow="10480" yWindow="500" windowWidth="26380" windowHeight="17500" xr2:uid="{5AB1F6BE-8D85-C145-935C-36CBFEE4380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5" i="1" l="1"/>
  <c r="M126" i="1"/>
  <c r="M129" i="1"/>
  <c r="M130" i="1"/>
  <c r="M128" i="1"/>
  <c r="M127" i="1"/>
  <c r="M131" i="1"/>
  <c r="P131" i="1"/>
  <c r="P127" i="1"/>
  <c r="P128" i="1"/>
  <c r="P130" i="1"/>
  <c r="P129" i="1"/>
  <c r="P126" i="1"/>
  <c r="P125" i="1"/>
  <c r="M122" i="1"/>
  <c r="M121" i="1"/>
  <c r="M119" i="1"/>
  <c r="M109" i="1"/>
  <c r="M108" i="1"/>
  <c r="M114" i="1"/>
  <c r="M113" i="1"/>
  <c r="M118" i="1"/>
  <c r="M110" i="1"/>
  <c r="M115" i="1"/>
  <c r="M107" i="1"/>
  <c r="M106" i="1"/>
  <c r="M117" i="1"/>
  <c r="M116" i="1"/>
  <c r="M111" i="1"/>
  <c r="M105" i="1"/>
  <c r="M104" i="1"/>
  <c r="M124" i="1"/>
  <c r="M123" i="1"/>
  <c r="P120" i="1"/>
  <c r="P121" i="1"/>
  <c r="P122" i="1"/>
  <c r="M100" i="1"/>
  <c r="M99" i="1"/>
  <c r="P99" i="1"/>
  <c r="P100" i="1"/>
  <c r="P123" i="1"/>
  <c r="P124" i="1"/>
  <c r="P112" i="1"/>
  <c r="P104" i="1"/>
  <c r="P105" i="1"/>
  <c r="P111" i="1"/>
  <c r="P116" i="1"/>
  <c r="P117" i="1"/>
  <c r="P106" i="1"/>
  <c r="P107" i="1"/>
  <c r="P115" i="1"/>
  <c r="P110" i="1"/>
  <c r="P118" i="1"/>
  <c r="P113" i="1"/>
  <c r="P114" i="1"/>
  <c r="P108" i="1"/>
  <c r="P109" i="1"/>
  <c r="P119" i="1"/>
  <c r="M103" i="1"/>
  <c r="M102" i="1"/>
  <c r="M101" i="1"/>
  <c r="M96" i="1"/>
  <c r="M98" i="1"/>
  <c r="M90" i="1"/>
  <c r="M89" i="1"/>
  <c r="M93" i="1"/>
  <c r="M92" i="1"/>
  <c r="M91" i="1"/>
  <c r="M95" i="1"/>
  <c r="M94" i="1"/>
  <c r="M97" i="1"/>
  <c r="M88" i="1"/>
  <c r="M81" i="1"/>
  <c r="M80" i="1"/>
  <c r="M85" i="1"/>
  <c r="M78" i="1"/>
  <c r="M86" i="1"/>
  <c r="M82" i="1"/>
  <c r="M87" i="1"/>
  <c r="M84" i="1"/>
  <c r="M83" i="1"/>
  <c r="M77" i="1"/>
  <c r="P77" i="1"/>
  <c r="P83" i="1"/>
  <c r="P84" i="1"/>
  <c r="P87" i="1"/>
  <c r="P82" i="1"/>
  <c r="P79" i="1"/>
  <c r="P86" i="1"/>
  <c r="P78" i="1"/>
  <c r="P85" i="1"/>
  <c r="P80" i="1"/>
  <c r="P81" i="1"/>
  <c r="P88" i="1"/>
  <c r="P97" i="1"/>
  <c r="P94" i="1"/>
  <c r="P95" i="1"/>
  <c r="P91" i="1"/>
  <c r="P92" i="1"/>
  <c r="P93" i="1"/>
  <c r="P89" i="1"/>
  <c r="P90" i="1"/>
  <c r="P98" i="1"/>
  <c r="P96" i="1"/>
  <c r="P101" i="1"/>
  <c r="P102" i="1"/>
  <c r="P103" i="1"/>
  <c r="M53" i="1"/>
  <c r="M56" i="1"/>
  <c r="M58" i="1"/>
  <c r="M60" i="1"/>
  <c r="M59" i="1"/>
  <c r="P55" i="1"/>
  <c r="P59" i="1"/>
  <c r="P60" i="1"/>
  <c r="P57" i="1"/>
  <c r="P58" i="1"/>
  <c r="P56" i="1"/>
  <c r="P53" i="1"/>
  <c r="P54" i="1"/>
  <c r="M55" i="1"/>
  <c r="M49" i="1"/>
  <c r="M47" i="1"/>
  <c r="M46" i="1"/>
  <c r="M52" i="1"/>
  <c r="M48" i="1"/>
  <c r="M51" i="1"/>
  <c r="M41" i="1"/>
  <c r="M40" i="1"/>
  <c r="M33" i="1"/>
  <c r="M30" i="1"/>
  <c r="M34" i="1"/>
  <c r="M45" i="1"/>
  <c r="P49" i="1"/>
  <c r="P50" i="1"/>
  <c r="P45" i="1"/>
  <c r="P34" i="1"/>
  <c r="P30" i="1"/>
  <c r="P33" i="1"/>
  <c r="P29" i="1"/>
  <c r="P35" i="1"/>
  <c r="P40" i="1"/>
  <c r="P41" i="1"/>
  <c r="P51" i="1"/>
  <c r="P48" i="1"/>
  <c r="P52" i="1"/>
  <c r="P46" i="1"/>
  <c r="P47" i="1"/>
  <c r="P31" i="1"/>
  <c r="P32" i="1"/>
  <c r="M32" i="1"/>
  <c r="M31" i="1"/>
  <c r="M37" i="1"/>
  <c r="M36" i="1"/>
  <c r="P39" i="1"/>
  <c r="P36" i="1"/>
  <c r="P37" i="1"/>
  <c r="M42" i="1"/>
  <c r="M38" i="1"/>
  <c r="M26" i="1"/>
  <c r="M25" i="1"/>
  <c r="M28" i="1"/>
  <c r="M27" i="1"/>
  <c r="M15" i="1"/>
  <c r="M14" i="1"/>
  <c r="M18" i="1"/>
  <c r="P23" i="1"/>
  <c r="P18" i="1"/>
  <c r="P14" i="1"/>
  <c r="P15" i="1"/>
  <c r="P27" i="1"/>
  <c r="P28" i="1"/>
  <c r="P44" i="1"/>
  <c r="P25" i="1"/>
  <c r="P26" i="1"/>
  <c r="P43" i="1"/>
  <c r="P38" i="1"/>
  <c r="P42" i="1"/>
  <c r="M23" i="1"/>
  <c r="M17" i="1"/>
  <c r="M22" i="1"/>
  <c r="P21" i="1"/>
  <c r="P19" i="1"/>
  <c r="P22" i="1"/>
  <c r="P16" i="1"/>
  <c r="P17" i="1"/>
  <c r="P20" i="1"/>
  <c r="M76" i="1"/>
  <c r="M74" i="1"/>
  <c r="M72" i="1"/>
  <c r="M67" i="1"/>
  <c r="M66" i="1"/>
  <c r="M71" i="1"/>
  <c r="M70" i="1"/>
  <c r="M69" i="1"/>
  <c r="M68" i="1"/>
  <c r="M65" i="1"/>
  <c r="M61" i="1"/>
  <c r="M156" i="1"/>
  <c r="M62" i="1"/>
  <c r="M64" i="1"/>
  <c r="M10" i="1"/>
  <c r="M12" i="1"/>
  <c r="M11" i="1"/>
  <c r="M13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<sst xmlns="http://schemas.openxmlformats.org/spreadsheetml/2006/main" count="1159" uniqueCount="185">
  <si>
    <t>Species</t>
  </si>
  <si>
    <t>Lake</t>
  </si>
  <si>
    <t>Date tagged</t>
  </si>
  <si>
    <t>Release Time</t>
  </si>
  <si>
    <t>Trap ID</t>
  </si>
  <si>
    <t>Trap depth (m)</t>
  </si>
  <si>
    <t>Trap temperature</t>
  </si>
  <si>
    <t>Acoustic tag number</t>
  </si>
  <si>
    <t>Floy tag number</t>
  </si>
  <si>
    <t>Floy reward amount</t>
  </si>
  <si>
    <t>PIT tag number</t>
  </si>
  <si>
    <t>Total length (cm)</t>
  </si>
  <si>
    <t>Weight (g)</t>
  </si>
  <si>
    <t>Surgery duration (min)</t>
  </si>
  <si>
    <t>Electric glove setting (mA)</t>
  </si>
  <si>
    <t>Release location</t>
  </si>
  <si>
    <t>Notes</t>
  </si>
  <si>
    <t>Burbot</t>
  </si>
  <si>
    <t>Carp Lake</t>
  </si>
  <si>
    <t>CARP-12</t>
  </si>
  <si>
    <t>NA</t>
  </si>
  <si>
    <t>CARP-132</t>
  </si>
  <si>
    <t>CARP-141</t>
  </si>
  <si>
    <t>CARP-165</t>
  </si>
  <si>
    <t>Juvenile (or possible sculpin)</t>
  </si>
  <si>
    <t>CARP-192</t>
  </si>
  <si>
    <t>CARP-22</t>
  </si>
  <si>
    <t>CARP-249</t>
  </si>
  <si>
    <t>CARP-305</t>
  </si>
  <si>
    <t>CARP-328</t>
  </si>
  <si>
    <t>CARP-339</t>
  </si>
  <si>
    <t>bottomed-out 5kg scale</t>
  </si>
  <si>
    <t>CARP-344</t>
  </si>
  <si>
    <t>CARP-371</t>
  </si>
  <si>
    <t>CARP-375</t>
  </si>
  <si>
    <t>CARP-379</t>
  </si>
  <si>
    <t>CARP-396</t>
  </si>
  <si>
    <t>CARP-423</t>
  </si>
  <si>
    <t>CARP-445</t>
  </si>
  <si>
    <t>milky left eye lens</t>
  </si>
  <si>
    <t>CARP-449</t>
  </si>
  <si>
    <t>CARP-475</t>
  </si>
  <si>
    <t>too small to tag. weighed in small ziploc</t>
  </si>
  <si>
    <t>CARP-506</t>
  </si>
  <si>
    <t>CARP-564</t>
  </si>
  <si>
    <t>CARP-62</t>
  </si>
  <si>
    <t>CARP-647</t>
  </si>
  <si>
    <t>CARP-671</t>
  </si>
  <si>
    <t>CARP-680</t>
  </si>
  <si>
    <t>CARP-71</t>
  </si>
  <si>
    <t>CARP-784</t>
  </si>
  <si>
    <t>CARP-804</t>
  </si>
  <si>
    <t>CARP-82</t>
  </si>
  <si>
    <t>CARP-832</t>
  </si>
  <si>
    <t>CARP-834</t>
  </si>
  <si>
    <t>CARP-855</t>
  </si>
  <si>
    <t>Retagged (first tag fell off)</t>
  </si>
  <si>
    <t>CARP-88</t>
  </si>
  <si>
    <t>CARP-883</t>
  </si>
  <si>
    <t>CARP-891</t>
  </si>
  <si>
    <t>CARP-923</t>
  </si>
  <si>
    <t>CARP-95</t>
  </si>
  <si>
    <t>CARP-963</t>
  </si>
  <si>
    <t>CARP-994</t>
  </si>
  <si>
    <t>CARP2-145</t>
  </si>
  <si>
    <t>Full of fish, had trouble swimming. Held in trap (at original location) an additional ~1.5 hours before release</t>
  </si>
  <si>
    <t>CARP2-184</t>
  </si>
  <si>
    <t>CARP2-201</t>
  </si>
  <si>
    <t>CARP2-221</t>
  </si>
  <si>
    <t>CARP2-247</t>
  </si>
  <si>
    <t>CARP2-271</t>
  </si>
  <si>
    <t>CARP2-273</t>
  </si>
  <si>
    <t>CARP2-307</t>
  </si>
  <si>
    <t>CARP2-33</t>
  </si>
  <si>
    <t>CARP2-351</t>
  </si>
  <si>
    <t>CARP2-361</t>
  </si>
  <si>
    <t>CARP2-369</t>
  </si>
  <si>
    <t>CARP2-370</t>
  </si>
  <si>
    <t>CARP2-384</t>
  </si>
  <si>
    <t>CARP2-389</t>
  </si>
  <si>
    <t>CARP2-393</t>
  </si>
  <si>
    <t>CARP2-397</t>
  </si>
  <si>
    <t>CARP2-41</t>
  </si>
  <si>
    <t>CARP2-438</t>
  </si>
  <si>
    <t>CARP2-448</t>
  </si>
  <si>
    <t>CARP2-449</t>
  </si>
  <si>
    <t>CARP2-453</t>
  </si>
  <si>
    <t>CARP2-458</t>
  </si>
  <si>
    <t>Released before remembering to measure weight</t>
  </si>
  <si>
    <t>CARP2-464</t>
  </si>
  <si>
    <t>CARP2-466</t>
  </si>
  <si>
    <t>CARP2-490</t>
  </si>
  <si>
    <t>CARP2-495</t>
  </si>
  <si>
    <t>CARP2-5</t>
  </si>
  <si>
    <t>CARP2-532</t>
  </si>
  <si>
    <t>CARP2-536</t>
  </si>
  <si>
    <t>Net caught on operculum but was dislodged (there was a hole in the net, which we then repaired) and burbot seemed ok. Tagged with no-reward</t>
  </si>
  <si>
    <t>CARP2-545</t>
  </si>
  <si>
    <t>CARP2-548</t>
  </si>
  <si>
    <t>RECAPTURE!</t>
  </si>
  <si>
    <t>CARP2-551</t>
  </si>
  <si>
    <t>CARP2-592</t>
  </si>
  <si>
    <t>CARP2-594</t>
  </si>
  <si>
    <t>CARP2-613</t>
  </si>
  <si>
    <t>CARP2-634</t>
  </si>
  <si>
    <t>CARP2-72</t>
  </si>
  <si>
    <t>CARP2-86</t>
  </si>
  <si>
    <t>Cluculz Lake</t>
  </si>
  <si>
    <t>CLU-Z3-166</t>
  </si>
  <si>
    <t>recorded as fish ID "CZ01" on set sheet</t>
  </si>
  <si>
    <t>Fraser Lake</t>
  </si>
  <si>
    <t>TZ1-218</t>
  </si>
  <si>
    <t>TZ1-345</t>
  </si>
  <si>
    <t>escaped during surgery and hit floor of boat before placing acoustic tag</t>
  </si>
  <si>
    <t>TZ1-229</t>
  </si>
  <si>
    <t>TZ1-318</t>
  </si>
  <si>
    <t>RECAPTURE. Was held at 5m trap for additional 5hours to recover from apparent barotrauma. Fish recovered well and swam down when released.</t>
  </si>
  <si>
    <t>TZ1-365</t>
  </si>
  <si>
    <t>Floy tagged only</t>
  </si>
  <si>
    <t>TZ1-376</t>
  </si>
  <si>
    <t>TZ1-85</t>
  </si>
  <si>
    <t>Beaumont</t>
  </si>
  <si>
    <t>had large lump on underside. Parasites on dorsal side of body. Did not acoustic-tag, suspected interal parasites. Secondary Floy tag 7478</t>
  </si>
  <si>
    <t>TZ1-880</t>
  </si>
  <si>
    <t>3 sutures</t>
  </si>
  <si>
    <t>TZ1-942</t>
  </si>
  <si>
    <t>TZ1-383</t>
  </si>
  <si>
    <t>"very feisty during surgery" - had to turn up gloves from 10 to 15 mA. 3 sutures; surgeon Liz</t>
  </si>
  <si>
    <t>TZ1-95</t>
  </si>
  <si>
    <t>TZ1-969</t>
  </si>
  <si>
    <t>TZ1-977</t>
  </si>
  <si>
    <t>3 sutures, surgeon Liz. Photo</t>
  </si>
  <si>
    <t>TZ2-349</t>
  </si>
  <si>
    <t>PIT tag fell out during surgery and was found after suturing. 3 sutures; surgeon Liz</t>
  </si>
  <si>
    <t>TZ2-382</t>
  </si>
  <si>
    <t>3 sutures; small incision; surgeon Liz</t>
  </si>
  <si>
    <t>TZ2-489</t>
  </si>
  <si>
    <t>Attempted shuttlebox burbot - did not tag. Released in evening from Beaumont near boat launch</t>
  </si>
  <si>
    <t>TZ2-55</t>
  </si>
  <si>
    <t>Lots of scratch marks on skin</t>
  </si>
  <si>
    <t>TZ2-56</t>
  </si>
  <si>
    <t>apparent barotrauma. Held in trap ~5m and released next morning near Beaumont boat launch</t>
  </si>
  <si>
    <t>TZ2-574</t>
  </si>
  <si>
    <t>Peterson's Beach</t>
  </si>
  <si>
    <t>offshore from Beaumont</t>
  </si>
  <si>
    <t>Barotrauma - set back in trap at 3m near Beaumont, pulled again and released in good condition</t>
  </si>
  <si>
    <t>TZ2-589</t>
  </si>
  <si>
    <t>3 sutures, surgeon Liz</t>
  </si>
  <si>
    <t>TZ2-603</t>
  </si>
  <si>
    <t>had lots of parasites (leeches?) on gills and on skin; did not surgery</t>
  </si>
  <si>
    <t>TZ3-1119</t>
  </si>
  <si>
    <t>Was transported back for shuttlebox but did not start trial; released at Beaumont</t>
  </si>
  <si>
    <t>TZ3-12</t>
  </si>
  <si>
    <t>Did not acoustic tag because gloves were not generating shock</t>
  </si>
  <si>
    <t>TZ4-239</t>
  </si>
  <si>
    <t>White Swan dock</t>
  </si>
  <si>
    <t>started going belly-up after surgery (barotrauma?) - "burped" by Meaghan and then held in trap from boat dock for 2h, recovered for release</t>
  </si>
  <si>
    <t>BB3</t>
  </si>
  <si>
    <t>TZ4-257M</t>
  </si>
  <si>
    <t>TZ4-290</t>
  </si>
  <si>
    <t>too small for acoustic tag</t>
  </si>
  <si>
    <t>CARP3-Z2-420</t>
  </si>
  <si>
    <t>CARP3-Z2-392</t>
  </si>
  <si>
    <t>CARP3-Z2-120</t>
  </si>
  <si>
    <t>CARP3-Z2-167</t>
  </si>
  <si>
    <t>CARP3-Z2-393</t>
  </si>
  <si>
    <t>CARP3-Z2-207</t>
  </si>
  <si>
    <t>Not tagged; too small</t>
  </si>
  <si>
    <t>Pulled up on illegal, unmarked set-line in apparently good condition (active, fighting/swimming). Released at line location</t>
  </si>
  <si>
    <t>CARP3-Z3-61</t>
  </si>
  <si>
    <t>CARP3-Z3-122</t>
  </si>
  <si>
    <t>CARP3-Z4-410</t>
  </si>
  <si>
    <t>CARP3-Z4-128</t>
  </si>
  <si>
    <t>CARP3-Z4-194</t>
  </si>
  <si>
    <t>CARP3-Z1-283</t>
  </si>
  <si>
    <t>CARP3-Z1-364</t>
  </si>
  <si>
    <t>CARP3-Z1-344</t>
  </si>
  <si>
    <t>CARP3-Z1-286</t>
  </si>
  <si>
    <t>CARP3-Z1-404</t>
  </si>
  <si>
    <t>CARP3-Z1-417</t>
  </si>
  <si>
    <t>CARP3-Z1-330</t>
  </si>
  <si>
    <t>CARP3-Z1-372</t>
  </si>
  <si>
    <t>MORTALITY. turned gloves up to 20 near end because fish was struggling. 3 sutures</t>
  </si>
  <si>
    <t>MORTALITY. Swim bladder started coming out during surgery - widened incision and performed 4 sutures to keep it inside</t>
  </si>
  <si>
    <t>MORTALITY. 3 sutures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</si>
</sst>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4" borderId="0" xfId="0" applyFill="1"/>
    <xf numFmtId="0" fontId="1" fillId="3" borderId="0" xfId="2"/>
    <xf numFmtId="14" fontId="1" fillId="3" borderId="0" xfId="2" applyNumberFormat="1"/>
    <xf numFmtId="0" fontId="0" fillId="3" borderId="0" xfId="2" applyFont="1"/>
    <xf numFmtId="14" fontId="0" fillId="3" borderId="0" xfId="2" applyNumberFormat="1" applyFont="1"/>
    <xf numFmtId="0" fontId="1" fillId="2" borderId="0" xfId="1"/>
    <xf numFmtId="0" fontId="0" fillId="2" borderId="0" xfId="1" applyFont="1"/>
    <xf numFmtId="14" fontId="1" fillId="2" borderId="0" xfId="1" applyNumberFormat="1"/>
    <xf numFmtId="0" fontId="0" fillId="5" borderId="0" xfId="0" applyFill="1"/>
    <xf numFmtId="0" fontId="2" fillId="0" borderId="0" xfId="0" applyFont="1"/>
  </cellXfs>
  <cellStyles count="3">
    <cellStyle name="20% - Accent5" xfId="1" builtinId="46"/>
    <cellStyle name="20% - Accent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770C1-1C9C-594F-BFA5-3AB0DBDBA206}" name="Table1" displayName="Table1" ref="A1:Q156" totalsRowShown="0">
  <autoFilter ref="A1:Q156" xr:uid="{D73770C1-1C9C-594F-BFA5-3AB0DBDBA206}"/>
  <sortState xmlns:xlrd2="http://schemas.microsoft.com/office/spreadsheetml/2017/richdata2" ref="A2:Q156">
    <sortCondition ref="C1:C156"/>
  </sortState>
  <tableColumns count="17">
    <tableColumn id="1" xr3:uid="{983AFA7E-304F-9E48-868B-827F47AC33CA}" name="Species"/>
    <tableColumn id="2" xr3:uid="{A2507354-1EC2-5640-907D-B83AAC9FD2ED}" name="Lake"/>
    <tableColumn id="3" xr3:uid="{B5C6CCCE-7B27-5343-8BE3-A5D291142977}" name="Date tagged"/>
    <tableColumn id="5" xr3:uid="{C5410A97-5871-1042-93FF-A5DCDD935B03}" name="Release Time"/>
    <tableColumn id="6" xr3:uid="{677DAE99-F117-674D-893D-8625F29DB96E}" name="Trap ID"/>
    <tableColumn id="7" xr3:uid="{78FB855C-5534-4D42-B406-4547B1F2C155}" name="Trap depth (m)"/>
    <tableColumn id="8" xr3:uid="{015AFCB4-B499-9C4B-B38C-2CD6809A182C}" name="Trap temperature"/>
    <tableColumn id="9" xr3:uid="{9D30E5FD-62B1-E249-B496-9481147C53A0}" name="Acoustic tag number"/>
    <tableColumn id="10" xr3:uid="{BC89A699-6E53-C34A-9BE2-BD307043567B}" name="Floy tag number"/>
    <tableColumn id="11" xr3:uid="{4172BFD4-E3BF-4C46-BEF8-9976CFD9B0CC}" name="Floy reward amount"/>
    <tableColumn id="12" xr3:uid="{99866FC8-7DBB-9B41-AA40-A810A8EEF8EC}" name="PIT tag number"/>
    <tableColumn id="13" xr3:uid="{76A1F78B-500C-FD44-8E3B-C1FEDB6378B7}" name="Total length (cm)"/>
    <tableColumn id="14" xr3:uid="{1FD8176C-BFC5-3140-926C-C45E869617EF}" name="Weight (g)"/>
    <tableColumn id="15" xr3:uid="{28DA2BA6-A80A-A84E-8861-AE5473B43401}" name="Surgery duration (min)"/>
    <tableColumn id="16" xr3:uid="{2B77D6A1-BE9E-0E4E-9117-357F63DCE12D}" name="Electric glove setting (mA)"/>
    <tableColumn id="17" xr3:uid="{E4144AC4-482E-3E4C-966F-E17186D7A07C}" name="Release location"/>
    <tableColumn id="18" xr3:uid="{1D0CBAC6-9810-DD46-ACDA-1FA3B21279B9}" name="Note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322B-26AF-8441-AD94-C3B80860602E}">
  <dimension ref="A1:Q156"/>
  <sheetViews>
    <sheetView tabSelected="1" workbookViewId="0">
      <selection activeCell="C14" sqref="C14"/>
    </sheetView>
  </sheetViews>
  <sheetFormatPr baseColWidth="10" defaultColWidth="11" defaultRowHeight="16" x14ac:dyDescent="0.2"/>
  <cols>
    <col min="3" max="3" width="13.5" customWidth="1"/>
    <col min="4" max="4" width="14.6640625" customWidth="1"/>
    <col min="6" max="6" width="15.83203125" customWidth="1"/>
    <col min="7" max="7" width="18" customWidth="1"/>
    <col min="8" max="8" width="20.33203125" customWidth="1"/>
    <col min="9" max="9" width="16.83203125" customWidth="1"/>
    <col min="10" max="10" width="20" customWidth="1"/>
    <col min="11" max="11" width="16" customWidth="1"/>
    <col min="12" max="12" width="17.6640625" customWidth="1"/>
    <col min="13" max="13" width="12.33203125" customWidth="1"/>
    <col min="14" max="14" width="22" customWidth="1"/>
    <col min="15" max="15" width="25.1640625" customWidth="1"/>
    <col min="16" max="16" width="17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110</v>
      </c>
      <c r="C2" s="1">
        <v>44693</v>
      </c>
      <c r="D2" s="2">
        <v>0.64583333333333337</v>
      </c>
      <c r="E2" t="s">
        <v>114</v>
      </c>
      <c r="F2">
        <v>3</v>
      </c>
      <c r="H2">
        <v>1505876</v>
      </c>
      <c r="I2">
        <v>7033</v>
      </c>
      <c r="J2">
        <v>100</v>
      </c>
      <c r="K2">
        <v>6913131</v>
      </c>
      <c r="L2">
        <v>62</v>
      </c>
      <c r="M2">
        <f>1800-650</f>
        <v>1150</v>
      </c>
      <c r="N2">
        <v>15</v>
      </c>
      <c r="O2">
        <v>10</v>
      </c>
      <c r="P2" t="s">
        <v>112</v>
      </c>
    </row>
    <row r="3" spans="1:17" x14ac:dyDescent="0.2">
      <c r="A3" t="s">
        <v>17</v>
      </c>
      <c r="B3" t="s">
        <v>110</v>
      </c>
      <c r="C3" s="1">
        <v>44693</v>
      </c>
      <c r="D3" s="2">
        <v>0.64583333333333337</v>
      </c>
      <c r="E3" t="s">
        <v>111</v>
      </c>
      <c r="F3">
        <v>4.0999999999999996</v>
      </c>
      <c r="H3">
        <v>1505878</v>
      </c>
      <c r="I3">
        <v>7210</v>
      </c>
      <c r="J3">
        <v>0</v>
      </c>
      <c r="K3">
        <v>6914570</v>
      </c>
      <c r="L3">
        <v>57.5</v>
      </c>
      <c r="M3">
        <f>1750-650</f>
        <v>1100</v>
      </c>
      <c r="N3">
        <v>17</v>
      </c>
      <c r="O3">
        <v>15</v>
      </c>
      <c r="P3" t="s">
        <v>112</v>
      </c>
      <c r="Q3" t="s">
        <v>113</v>
      </c>
    </row>
    <row r="4" spans="1:17" x14ac:dyDescent="0.2">
      <c r="A4" t="s">
        <v>17</v>
      </c>
      <c r="B4" t="s">
        <v>110</v>
      </c>
      <c r="C4" s="1">
        <v>44695</v>
      </c>
      <c r="D4" s="2">
        <v>0.82291666666666663</v>
      </c>
      <c r="E4" t="s">
        <v>115</v>
      </c>
      <c r="F4">
        <v>9.6</v>
      </c>
      <c r="H4" t="s">
        <v>20</v>
      </c>
      <c r="I4">
        <v>7001</v>
      </c>
      <c r="J4">
        <v>100</v>
      </c>
      <c r="K4">
        <v>6916151</v>
      </c>
      <c r="L4">
        <v>62.5</v>
      </c>
      <c r="M4">
        <f>1800-650</f>
        <v>1150</v>
      </c>
      <c r="N4" t="s">
        <v>20</v>
      </c>
      <c r="O4" t="s">
        <v>20</v>
      </c>
      <c r="P4">
        <v>7001</v>
      </c>
      <c r="Q4" t="s">
        <v>116</v>
      </c>
    </row>
    <row r="5" spans="1:17" x14ac:dyDescent="0.2">
      <c r="A5" t="s">
        <v>17</v>
      </c>
      <c r="B5" t="s">
        <v>110</v>
      </c>
      <c r="C5" s="1">
        <v>44698</v>
      </c>
      <c r="E5" t="s">
        <v>150</v>
      </c>
      <c r="F5">
        <v>7</v>
      </c>
      <c r="G5">
        <v>6.6</v>
      </c>
      <c r="H5" t="s">
        <v>20</v>
      </c>
      <c r="I5">
        <v>7208</v>
      </c>
      <c r="J5">
        <v>0</v>
      </c>
      <c r="K5" t="s">
        <v>20</v>
      </c>
      <c r="L5">
        <v>54</v>
      </c>
      <c r="M5">
        <f>1450-650</f>
        <v>800</v>
      </c>
      <c r="N5" t="s">
        <v>20</v>
      </c>
      <c r="O5" t="s">
        <v>20</v>
      </c>
      <c r="P5" t="s">
        <v>121</v>
      </c>
      <c r="Q5" t="s">
        <v>151</v>
      </c>
    </row>
    <row r="6" spans="1:17" x14ac:dyDescent="0.2">
      <c r="A6" t="s">
        <v>17</v>
      </c>
      <c r="B6" t="s">
        <v>110</v>
      </c>
      <c r="C6" s="1">
        <v>44698</v>
      </c>
      <c r="D6" s="2">
        <v>0.58333333333333337</v>
      </c>
      <c r="E6" t="s">
        <v>152</v>
      </c>
      <c r="F6">
        <v>5.6</v>
      </c>
      <c r="H6" t="s">
        <v>20</v>
      </c>
      <c r="I6">
        <v>7060</v>
      </c>
      <c r="J6">
        <v>100</v>
      </c>
      <c r="K6" t="s">
        <v>20</v>
      </c>
      <c r="L6">
        <v>52.5</v>
      </c>
      <c r="M6">
        <f>1650-650</f>
        <v>1000</v>
      </c>
      <c r="N6" t="s">
        <v>20</v>
      </c>
      <c r="O6" t="s">
        <v>20</v>
      </c>
      <c r="P6" t="s">
        <v>143</v>
      </c>
      <c r="Q6" t="s">
        <v>153</v>
      </c>
    </row>
    <row r="7" spans="1:17" x14ac:dyDescent="0.2">
      <c r="A7" t="s">
        <v>17</v>
      </c>
      <c r="B7" t="s">
        <v>110</v>
      </c>
      <c r="C7" s="1">
        <v>44700</v>
      </c>
      <c r="D7" s="2">
        <v>0.70833333333333337</v>
      </c>
      <c r="E7" t="s">
        <v>132</v>
      </c>
      <c r="F7">
        <v>5.2</v>
      </c>
      <c r="G7">
        <v>6.9</v>
      </c>
      <c r="H7">
        <v>1388438</v>
      </c>
      <c r="I7">
        <v>7188</v>
      </c>
      <c r="J7">
        <v>0</v>
      </c>
      <c r="K7" t="s">
        <v>20</v>
      </c>
      <c r="L7">
        <v>50.2</v>
      </c>
      <c r="M7">
        <v>900</v>
      </c>
      <c r="N7">
        <v>8</v>
      </c>
      <c r="O7">
        <v>10</v>
      </c>
      <c r="Q7" t="s">
        <v>133</v>
      </c>
    </row>
    <row r="8" spans="1:17" x14ac:dyDescent="0.2">
      <c r="A8" t="s">
        <v>17</v>
      </c>
      <c r="B8" t="s">
        <v>110</v>
      </c>
      <c r="C8" s="1">
        <v>44700</v>
      </c>
      <c r="D8" s="2">
        <v>0.70833333333333337</v>
      </c>
      <c r="E8" t="s">
        <v>134</v>
      </c>
      <c r="F8">
        <v>8.6</v>
      </c>
      <c r="G8">
        <v>6.7</v>
      </c>
      <c r="H8">
        <v>1505869</v>
      </c>
      <c r="I8">
        <v>7059</v>
      </c>
      <c r="J8">
        <v>100</v>
      </c>
      <c r="K8">
        <v>6911269</v>
      </c>
      <c r="L8">
        <v>60</v>
      </c>
      <c r="M8">
        <v>1250</v>
      </c>
      <c r="N8">
        <v>9</v>
      </c>
      <c r="O8">
        <v>15</v>
      </c>
      <c r="Q8" t="s">
        <v>135</v>
      </c>
    </row>
    <row r="9" spans="1:17" x14ac:dyDescent="0.2">
      <c r="A9" t="s">
        <v>17</v>
      </c>
      <c r="B9" t="s">
        <v>110</v>
      </c>
      <c r="C9" s="1">
        <v>44700</v>
      </c>
      <c r="E9" t="s">
        <v>136</v>
      </c>
      <c r="F9">
        <v>5.6</v>
      </c>
      <c r="G9">
        <v>6.9</v>
      </c>
      <c r="H9" t="s">
        <v>20</v>
      </c>
      <c r="I9">
        <v>7187</v>
      </c>
      <c r="J9">
        <v>0</v>
      </c>
      <c r="K9" t="s">
        <v>20</v>
      </c>
      <c r="L9" s="3" t="s">
        <v>20</v>
      </c>
      <c r="M9" s="3" t="s">
        <v>20</v>
      </c>
      <c r="N9" t="s">
        <v>20</v>
      </c>
      <c r="O9" t="s">
        <v>20</v>
      </c>
      <c r="P9" t="s">
        <v>121</v>
      </c>
      <c r="Q9" t="s">
        <v>137</v>
      </c>
    </row>
    <row r="10" spans="1:17" x14ac:dyDescent="0.2">
      <c r="A10" t="s">
        <v>17</v>
      </c>
      <c r="B10" t="s">
        <v>110</v>
      </c>
      <c r="C10" s="1">
        <v>44702</v>
      </c>
      <c r="D10" s="2">
        <v>0.56597222222222221</v>
      </c>
      <c r="E10" t="s">
        <v>154</v>
      </c>
      <c r="F10">
        <v>9.1999999999999993</v>
      </c>
      <c r="G10">
        <v>7.2</v>
      </c>
      <c r="H10">
        <v>1388444</v>
      </c>
      <c r="I10">
        <v>7057</v>
      </c>
      <c r="J10">
        <v>100</v>
      </c>
      <c r="K10">
        <v>6914585</v>
      </c>
      <c r="L10">
        <v>62</v>
      </c>
      <c r="M10">
        <f>2100-650</f>
        <v>1450</v>
      </c>
      <c r="N10">
        <v>7</v>
      </c>
      <c r="O10">
        <v>10</v>
      </c>
      <c r="P10" t="s">
        <v>157</v>
      </c>
      <c r="Q10" t="s">
        <v>147</v>
      </c>
    </row>
    <row r="11" spans="1:17" x14ac:dyDescent="0.2">
      <c r="A11" t="s">
        <v>17</v>
      </c>
      <c r="B11" t="s">
        <v>110</v>
      </c>
      <c r="C11" s="1">
        <v>44702</v>
      </c>
      <c r="D11" s="2">
        <v>0.56597222222222221</v>
      </c>
      <c r="E11" t="s">
        <v>158</v>
      </c>
      <c r="F11">
        <v>3.1</v>
      </c>
      <c r="G11">
        <v>7.7</v>
      </c>
      <c r="H11">
        <v>1505870</v>
      </c>
      <c r="I11">
        <v>7058</v>
      </c>
      <c r="J11">
        <v>100</v>
      </c>
      <c r="K11">
        <v>6912069</v>
      </c>
      <c r="L11">
        <v>65</v>
      </c>
      <c r="M11">
        <f>2700-650</f>
        <v>2050</v>
      </c>
      <c r="N11">
        <v>6</v>
      </c>
      <c r="O11">
        <v>10</v>
      </c>
      <c r="P11" t="s">
        <v>157</v>
      </c>
      <c r="Q11" t="s">
        <v>147</v>
      </c>
    </row>
    <row r="12" spans="1:17" x14ac:dyDescent="0.2">
      <c r="A12" t="s">
        <v>17</v>
      </c>
      <c r="B12" t="s">
        <v>110</v>
      </c>
      <c r="C12" s="1">
        <v>44702</v>
      </c>
      <c r="D12" s="2">
        <v>0.61458333333333337</v>
      </c>
      <c r="E12" t="s">
        <v>154</v>
      </c>
      <c r="F12">
        <v>9.1999999999999993</v>
      </c>
      <c r="G12">
        <v>7.2</v>
      </c>
      <c r="H12">
        <v>1505871</v>
      </c>
      <c r="I12">
        <v>7190</v>
      </c>
      <c r="J12">
        <v>0</v>
      </c>
      <c r="K12">
        <v>6910229</v>
      </c>
      <c r="L12">
        <v>69</v>
      </c>
      <c r="M12">
        <f>2800-650</f>
        <v>2150</v>
      </c>
      <c r="N12">
        <v>6</v>
      </c>
      <c r="O12">
        <v>10</v>
      </c>
      <c r="P12" t="s">
        <v>155</v>
      </c>
      <c r="Q12" t="s">
        <v>156</v>
      </c>
    </row>
    <row r="13" spans="1:17" x14ac:dyDescent="0.2">
      <c r="A13" t="s">
        <v>17</v>
      </c>
      <c r="B13" t="s">
        <v>110</v>
      </c>
      <c r="C13" s="1">
        <v>44702</v>
      </c>
      <c r="D13" s="2">
        <v>0.42152777777777778</v>
      </c>
      <c r="E13" t="s">
        <v>159</v>
      </c>
      <c r="F13">
        <v>8.6</v>
      </c>
      <c r="G13">
        <v>7</v>
      </c>
      <c r="H13" t="s">
        <v>20</v>
      </c>
      <c r="I13">
        <v>7189</v>
      </c>
      <c r="J13">
        <v>0</v>
      </c>
      <c r="K13" t="s">
        <v>20</v>
      </c>
      <c r="L13">
        <v>35.5</v>
      </c>
      <c r="M13">
        <f>900-650</f>
        <v>250</v>
      </c>
      <c r="N13" t="s">
        <v>20</v>
      </c>
      <c r="O13" t="s">
        <v>20</v>
      </c>
      <c r="P13" t="s">
        <v>159</v>
      </c>
      <c r="Q13" t="s">
        <v>160</v>
      </c>
    </row>
    <row r="14" spans="1:17" x14ac:dyDescent="0.2">
      <c r="A14" s="4" t="s">
        <v>17</v>
      </c>
      <c r="B14" s="4" t="s">
        <v>18</v>
      </c>
      <c r="C14" s="5">
        <v>44712</v>
      </c>
      <c r="D14" s="4"/>
      <c r="E14" s="6" t="s">
        <v>25</v>
      </c>
      <c r="F14" s="4">
        <v>7.5</v>
      </c>
      <c r="G14" s="4"/>
      <c r="H14" s="6" t="s">
        <v>20</v>
      </c>
      <c r="I14" s="4">
        <v>7037</v>
      </c>
      <c r="J14" s="4">
        <v>100</v>
      </c>
      <c r="K14" s="6" t="s">
        <v>20</v>
      </c>
      <c r="L14" s="4">
        <v>85</v>
      </c>
      <c r="M14" s="4">
        <f>4500-650</f>
        <v>3850</v>
      </c>
      <c r="N14" s="6" t="s">
        <v>20</v>
      </c>
      <c r="O14" s="6" t="s">
        <v>20</v>
      </c>
      <c r="P14" s="4" t="str">
        <f>Table1[[#This Row],[Trap ID]]</f>
        <v>CARP-192</v>
      </c>
      <c r="Q14" s="4"/>
    </row>
    <row r="15" spans="1:17" x14ac:dyDescent="0.2">
      <c r="A15" s="4" t="s">
        <v>17</v>
      </c>
      <c r="B15" s="4" t="s">
        <v>18</v>
      </c>
      <c r="C15" s="5">
        <v>44712</v>
      </c>
      <c r="D15" s="4"/>
      <c r="E15" s="6" t="s">
        <v>38</v>
      </c>
      <c r="F15" s="4">
        <v>7</v>
      </c>
      <c r="G15" s="4"/>
      <c r="H15" s="6" t="s">
        <v>20</v>
      </c>
      <c r="I15" s="4">
        <v>7199</v>
      </c>
      <c r="J15" s="4">
        <v>0</v>
      </c>
      <c r="K15" s="6" t="s">
        <v>20</v>
      </c>
      <c r="L15" s="4">
        <v>62</v>
      </c>
      <c r="M15" s="4">
        <f>4000-650</f>
        <v>3350</v>
      </c>
      <c r="N15" s="6" t="s">
        <v>20</v>
      </c>
      <c r="O15" s="6" t="s">
        <v>20</v>
      </c>
      <c r="P15" s="4" t="str">
        <f>Table1[[#This Row],[Trap ID]]</f>
        <v>CARP-445</v>
      </c>
      <c r="Q15" s="6" t="s">
        <v>39</v>
      </c>
    </row>
    <row r="16" spans="1:17" x14ac:dyDescent="0.2">
      <c r="A16" s="4" t="s">
        <v>17</v>
      </c>
      <c r="B16" s="4" t="s">
        <v>18</v>
      </c>
      <c r="C16" s="5">
        <v>44712</v>
      </c>
      <c r="D16" s="4"/>
      <c r="E16" s="6" t="s">
        <v>41</v>
      </c>
      <c r="F16" s="4">
        <v>8.6999999999999993</v>
      </c>
      <c r="G16" s="4"/>
      <c r="H16" s="6" t="s">
        <v>20</v>
      </c>
      <c r="I16" s="6" t="s">
        <v>20</v>
      </c>
      <c r="J16" s="6" t="s">
        <v>20</v>
      </c>
      <c r="K16" s="6" t="s">
        <v>20</v>
      </c>
      <c r="L16" s="4">
        <v>11</v>
      </c>
      <c r="M16" s="4">
        <v>30</v>
      </c>
      <c r="N16" s="6" t="s">
        <v>20</v>
      </c>
      <c r="O16" s="6" t="s">
        <v>20</v>
      </c>
      <c r="P16" s="4" t="str">
        <f>Table1[[#This Row],[Trap ID]]</f>
        <v>CARP-475</v>
      </c>
      <c r="Q16" s="6" t="s">
        <v>42</v>
      </c>
    </row>
    <row r="17" spans="1:17" x14ac:dyDescent="0.2">
      <c r="A17" s="4" t="s">
        <v>17</v>
      </c>
      <c r="B17" s="4" t="s">
        <v>18</v>
      </c>
      <c r="C17" s="5">
        <v>44712</v>
      </c>
      <c r="D17" s="4"/>
      <c r="E17" s="6" t="s">
        <v>50</v>
      </c>
      <c r="F17" s="4">
        <v>6.1</v>
      </c>
      <c r="G17" s="4"/>
      <c r="H17" s="6" t="s">
        <v>20</v>
      </c>
      <c r="I17" s="4">
        <v>7036</v>
      </c>
      <c r="J17" s="4">
        <v>100</v>
      </c>
      <c r="K17" s="6" t="s">
        <v>20</v>
      </c>
      <c r="L17" s="4">
        <v>74</v>
      </c>
      <c r="M17" s="4">
        <f>4100-650</f>
        <v>3450</v>
      </c>
      <c r="N17" s="6" t="s">
        <v>20</v>
      </c>
      <c r="O17" s="6" t="s">
        <v>20</v>
      </c>
      <c r="P17" s="4" t="str">
        <f>Table1[[#This Row],[Trap ID]]</f>
        <v>CARP-784</v>
      </c>
      <c r="Q17" s="4"/>
    </row>
    <row r="18" spans="1:17" x14ac:dyDescent="0.2">
      <c r="A18" s="4" t="s">
        <v>17</v>
      </c>
      <c r="B18" s="4" t="s">
        <v>18</v>
      </c>
      <c r="C18" s="5">
        <v>44712</v>
      </c>
      <c r="D18" s="4"/>
      <c r="E18" s="6" t="s">
        <v>52</v>
      </c>
      <c r="F18" s="4">
        <v>7.7</v>
      </c>
      <c r="G18" s="4"/>
      <c r="H18" s="6" t="s">
        <v>20</v>
      </c>
      <c r="I18" s="4">
        <v>7197</v>
      </c>
      <c r="J18" s="4">
        <v>0</v>
      </c>
      <c r="K18" s="6" t="s">
        <v>20</v>
      </c>
      <c r="L18" s="4">
        <v>59</v>
      </c>
      <c r="M18" s="4">
        <f>2200-650</f>
        <v>1550</v>
      </c>
      <c r="N18" s="6" t="s">
        <v>20</v>
      </c>
      <c r="O18" s="6" t="s">
        <v>20</v>
      </c>
      <c r="P18" s="4" t="str">
        <f>Table1[[#This Row],[Trap ID]]</f>
        <v>CARP-82</v>
      </c>
      <c r="Q18" s="4"/>
    </row>
    <row r="19" spans="1:17" x14ac:dyDescent="0.2">
      <c r="A19" s="4" t="s">
        <v>17</v>
      </c>
      <c r="B19" s="4" t="s">
        <v>18</v>
      </c>
      <c r="C19" s="5">
        <v>44712</v>
      </c>
      <c r="D19" s="4"/>
      <c r="E19" s="6" t="s">
        <v>54</v>
      </c>
      <c r="F19" s="4">
        <v>10.4</v>
      </c>
      <c r="G19" s="4"/>
      <c r="H19" s="6" t="s">
        <v>20</v>
      </c>
      <c r="I19" s="4">
        <v>7034</v>
      </c>
      <c r="J19" s="4">
        <v>100</v>
      </c>
      <c r="K19" s="6" t="s">
        <v>20</v>
      </c>
      <c r="L19" s="4">
        <v>72.5</v>
      </c>
      <c r="M19" s="4">
        <v>2850</v>
      </c>
      <c r="N19" s="6" t="s">
        <v>20</v>
      </c>
      <c r="O19" s="6" t="s">
        <v>20</v>
      </c>
      <c r="P19" s="4" t="str">
        <f>Table1[[#This Row],[Trap ID]]</f>
        <v>CARP-834</v>
      </c>
      <c r="Q19" s="4"/>
    </row>
    <row r="20" spans="1:17" x14ac:dyDescent="0.2">
      <c r="A20" s="4" t="s">
        <v>17</v>
      </c>
      <c r="B20" s="4" t="s">
        <v>18</v>
      </c>
      <c r="C20" s="5">
        <v>44712</v>
      </c>
      <c r="D20" s="4"/>
      <c r="E20" s="6" t="s">
        <v>55</v>
      </c>
      <c r="F20" s="4">
        <v>4.8</v>
      </c>
      <c r="G20" s="4"/>
      <c r="H20" s="6" t="s">
        <v>20</v>
      </c>
      <c r="I20" s="4">
        <v>7194</v>
      </c>
      <c r="J20" s="4">
        <v>0</v>
      </c>
      <c r="K20" s="6" t="s">
        <v>20</v>
      </c>
      <c r="L20" s="4">
        <v>60.5</v>
      </c>
      <c r="M20" s="4">
        <v>1050</v>
      </c>
      <c r="N20" s="6" t="s">
        <v>20</v>
      </c>
      <c r="O20" s="6" t="s">
        <v>20</v>
      </c>
      <c r="P20" s="4" t="str">
        <f>Table1[[#This Row],[Trap ID]]</f>
        <v>CARP-855</v>
      </c>
      <c r="Q20" s="6" t="s">
        <v>56</v>
      </c>
    </row>
    <row r="21" spans="1:17" x14ac:dyDescent="0.2">
      <c r="A21" s="4" t="s">
        <v>17</v>
      </c>
      <c r="B21" s="4" t="s">
        <v>18</v>
      </c>
      <c r="C21" s="5">
        <v>44712</v>
      </c>
      <c r="D21" s="4"/>
      <c r="E21" s="6" t="s">
        <v>55</v>
      </c>
      <c r="F21" s="4">
        <v>4.8</v>
      </c>
      <c r="G21" s="4"/>
      <c r="H21" s="6" t="s">
        <v>20</v>
      </c>
      <c r="I21" s="4">
        <v>7055</v>
      </c>
      <c r="J21" s="4">
        <v>100</v>
      </c>
      <c r="K21" s="6" t="s">
        <v>20</v>
      </c>
      <c r="L21" s="4">
        <v>70.5</v>
      </c>
      <c r="M21" s="4">
        <v>2550</v>
      </c>
      <c r="N21" s="6" t="s">
        <v>20</v>
      </c>
      <c r="O21" s="6" t="s">
        <v>20</v>
      </c>
      <c r="P21" s="4" t="str">
        <f>Table1[[#This Row],[Trap ID]]</f>
        <v>CARP-855</v>
      </c>
      <c r="Q21" s="4"/>
    </row>
    <row r="22" spans="1:17" x14ac:dyDescent="0.2">
      <c r="A22" s="4" t="s">
        <v>17</v>
      </c>
      <c r="B22" s="4" t="s">
        <v>18</v>
      </c>
      <c r="C22" s="5">
        <v>44712</v>
      </c>
      <c r="D22" s="4"/>
      <c r="E22" s="6" t="s">
        <v>60</v>
      </c>
      <c r="F22" s="4">
        <v>6.6</v>
      </c>
      <c r="G22" s="4"/>
      <c r="H22" s="6" t="s">
        <v>20</v>
      </c>
      <c r="I22" s="4">
        <v>7195</v>
      </c>
      <c r="J22" s="4">
        <v>0</v>
      </c>
      <c r="K22" s="6" t="s">
        <v>20</v>
      </c>
      <c r="L22" s="4">
        <v>76</v>
      </c>
      <c r="M22" s="4">
        <f>4400-650</f>
        <v>3750</v>
      </c>
      <c r="N22" s="6" t="s">
        <v>20</v>
      </c>
      <c r="O22" s="6" t="s">
        <v>20</v>
      </c>
      <c r="P22" s="4" t="str">
        <f>Table1[[#This Row],[Trap ID]]</f>
        <v>CARP-923</v>
      </c>
      <c r="Q22" s="4"/>
    </row>
    <row r="23" spans="1:17" x14ac:dyDescent="0.2">
      <c r="A23" s="4" t="s">
        <v>17</v>
      </c>
      <c r="B23" s="4" t="s">
        <v>18</v>
      </c>
      <c r="C23" s="5">
        <v>44712</v>
      </c>
      <c r="D23" s="4"/>
      <c r="E23" s="6" t="s">
        <v>62</v>
      </c>
      <c r="F23" s="4">
        <v>8.1</v>
      </c>
      <c r="G23" s="4"/>
      <c r="H23" s="6" t="s">
        <v>20</v>
      </c>
      <c r="I23" s="4">
        <v>7196</v>
      </c>
      <c r="J23" s="4">
        <v>0</v>
      </c>
      <c r="K23" s="6" t="s">
        <v>20</v>
      </c>
      <c r="L23" s="4">
        <v>68</v>
      </c>
      <c r="M23" s="4">
        <f>4000-650</f>
        <v>3350</v>
      </c>
      <c r="N23" s="6" t="s">
        <v>20</v>
      </c>
      <c r="O23" s="6" t="s">
        <v>20</v>
      </c>
      <c r="P23" s="4" t="str">
        <f>Table1[[#This Row],[Trap ID]]</f>
        <v>CARP-963</v>
      </c>
      <c r="Q23" s="4"/>
    </row>
    <row r="24" spans="1:17" x14ac:dyDescent="0.2">
      <c r="A24" s="9" t="s">
        <v>17</v>
      </c>
      <c r="B24" s="9" t="s">
        <v>107</v>
      </c>
      <c r="C24" s="10">
        <v>44712</v>
      </c>
      <c r="D24" s="8"/>
      <c r="E24" s="9" t="s">
        <v>108</v>
      </c>
      <c r="F24" s="8">
        <v>8</v>
      </c>
      <c r="G24" s="8"/>
      <c r="H24" s="9" t="s">
        <v>20</v>
      </c>
      <c r="I24" s="8">
        <v>7411</v>
      </c>
      <c r="J24" s="8">
        <v>100</v>
      </c>
      <c r="K24" s="9" t="s">
        <v>20</v>
      </c>
      <c r="L24" s="8">
        <v>61.5</v>
      </c>
      <c r="M24" s="8">
        <v>1500</v>
      </c>
      <c r="N24" s="9" t="s">
        <v>20</v>
      </c>
      <c r="O24" s="9" t="s">
        <v>20</v>
      </c>
      <c r="P24" s="9" t="s">
        <v>108</v>
      </c>
      <c r="Q24" s="9" t="s">
        <v>109</v>
      </c>
    </row>
    <row r="25" spans="1:17" x14ac:dyDescent="0.2">
      <c r="A25" s="4" t="s">
        <v>17</v>
      </c>
      <c r="B25" s="4" t="s">
        <v>18</v>
      </c>
      <c r="C25" s="5">
        <v>44713</v>
      </c>
      <c r="D25" s="4"/>
      <c r="E25" s="6" t="s">
        <v>19</v>
      </c>
      <c r="F25" s="4">
        <v>8.9</v>
      </c>
      <c r="G25" s="4"/>
      <c r="H25" s="6" t="s">
        <v>20</v>
      </c>
      <c r="I25" s="4">
        <v>7201</v>
      </c>
      <c r="J25" s="4">
        <v>0</v>
      </c>
      <c r="K25" s="6" t="s">
        <v>20</v>
      </c>
      <c r="L25" s="4">
        <v>89</v>
      </c>
      <c r="M25" s="4">
        <f>4700-650</f>
        <v>4050</v>
      </c>
      <c r="N25" s="6" t="s">
        <v>20</v>
      </c>
      <c r="O25" s="6" t="s">
        <v>20</v>
      </c>
      <c r="P25" s="4" t="str">
        <f>Table1[[#This Row],[Trap ID]]</f>
        <v>CARP-12</v>
      </c>
      <c r="Q25" s="4"/>
    </row>
    <row r="26" spans="1:17" x14ac:dyDescent="0.2">
      <c r="A26" s="4" t="s">
        <v>17</v>
      </c>
      <c r="B26" s="4" t="s">
        <v>18</v>
      </c>
      <c r="C26" s="5">
        <v>44713</v>
      </c>
      <c r="D26" s="4"/>
      <c r="E26" s="6" t="s">
        <v>19</v>
      </c>
      <c r="F26" s="4">
        <v>8.9</v>
      </c>
      <c r="G26" s="4"/>
      <c r="H26" s="6" t="s">
        <v>20</v>
      </c>
      <c r="I26" s="4">
        <v>7040</v>
      </c>
      <c r="J26" s="4">
        <v>100</v>
      </c>
      <c r="K26" s="6" t="s">
        <v>20</v>
      </c>
      <c r="L26" s="4">
        <v>71</v>
      </c>
      <c r="M26" s="4">
        <f>3250-650</f>
        <v>2600</v>
      </c>
      <c r="N26" s="6" t="s">
        <v>20</v>
      </c>
      <c r="O26" s="6" t="s">
        <v>20</v>
      </c>
      <c r="P26" s="4" t="str">
        <f>Table1[[#This Row],[Trap ID]]</f>
        <v>CARP-12</v>
      </c>
      <c r="Q26" s="4"/>
    </row>
    <row r="27" spans="1:17" x14ac:dyDescent="0.2">
      <c r="A27" s="4" t="s">
        <v>17</v>
      </c>
      <c r="B27" s="4" t="s">
        <v>18</v>
      </c>
      <c r="C27" s="5">
        <v>44713</v>
      </c>
      <c r="D27" s="4"/>
      <c r="E27" s="6" t="s">
        <v>22</v>
      </c>
      <c r="F27" s="4">
        <v>9.8000000000000007</v>
      </c>
      <c r="G27" s="4"/>
      <c r="H27" s="6" t="s">
        <v>20</v>
      </c>
      <c r="I27" s="4">
        <v>7200</v>
      </c>
      <c r="J27" s="4">
        <v>0</v>
      </c>
      <c r="K27" s="6" t="s">
        <v>20</v>
      </c>
      <c r="L27" s="4">
        <v>61</v>
      </c>
      <c r="M27" s="4">
        <f>2600-650</f>
        <v>1950</v>
      </c>
      <c r="N27" s="6" t="s">
        <v>20</v>
      </c>
      <c r="O27" s="6" t="s">
        <v>20</v>
      </c>
      <c r="P27" s="4" t="str">
        <f>Table1[[#This Row],[Trap ID]]</f>
        <v>CARP-141</v>
      </c>
      <c r="Q27" s="4"/>
    </row>
    <row r="28" spans="1:17" x14ac:dyDescent="0.2">
      <c r="A28" s="4" t="s">
        <v>17</v>
      </c>
      <c r="B28" s="4" t="s">
        <v>18</v>
      </c>
      <c r="C28" s="5">
        <v>44713</v>
      </c>
      <c r="D28" s="4"/>
      <c r="E28" s="6" t="s">
        <v>22</v>
      </c>
      <c r="F28" s="4">
        <v>9.8000000000000007</v>
      </c>
      <c r="G28" s="4"/>
      <c r="H28" s="6" t="s">
        <v>20</v>
      </c>
      <c r="I28" s="4">
        <v>7038</v>
      </c>
      <c r="J28" s="4">
        <v>100</v>
      </c>
      <c r="K28" s="6" t="s">
        <v>20</v>
      </c>
      <c r="L28" s="4">
        <v>77</v>
      </c>
      <c r="M28" s="4">
        <f>3700-650</f>
        <v>3050</v>
      </c>
      <c r="N28" s="6" t="s">
        <v>20</v>
      </c>
      <c r="O28" s="6" t="s">
        <v>20</v>
      </c>
      <c r="P28" s="4" t="str">
        <f>Table1[[#This Row],[Trap ID]]</f>
        <v>CARP-141</v>
      </c>
      <c r="Q28" s="4"/>
    </row>
    <row r="29" spans="1:17" x14ac:dyDescent="0.2">
      <c r="A29" s="4" t="s">
        <v>17</v>
      </c>
      <c r="B29" s="4" t="s">
        <v>18</v>
      </c>
      <c r="C29" s="5">
        <v>44713</v>
      </c>
      <c r="D29" s="4"/>
      <c r="E29" s="6" t="s">
        <v>23</v>
      </c>
      <c r="F29" s="4">
        <v>3.1</v>
      </c>
      <c r="G29" s="4"/>
      <c r="H29" s="6" t="s">
        <v>20</v>
      </c>
      <c r="I29" s="6" t="s">
        <v>20</v>
      </c>
      <c r="J29" s="6" t="s">
        <v>20</v>
      </c>
      <c r="K29" s="6" t="s">
        <v>20</v>
      </c>
      <c r="L29" s="4">
        <v>7.5</v>
      </c>
      <c r="M29" s="6" t="s">
        <v>20</v>
      </c>
      <c r="N29" s="6" t="s">
        <v>20</v>
      </c>
      <c r="O29" s="6" t="s">
        <v>20</v>
      </c>
      <c r="P29" s="4" t="str">
        <f>Table1[[#This Row],[Trap ID]]</f>
        <v>CARP-165</v>
      </c>
      <c r="Q29" s="6" t="s">
        <v>24</v>
      </c>
    </row>
    <row r="30" spans="1:17" x14ac:dyDescent="0.2">
      <c r="A30" s="4" t="s">
        <v>17</v>
      </c>
      <c r="B30" s="4" t="s">
        <v>18</v>
      </c>
      <c r="C30" s="5">
        <v>44713</v>
      </c>
      <c r="D30" s="4"/>
      <c r="E30" s="6" t="s">
        <v>26</v>
      </c>
      <c r="F30" s="4">
        <v>3.1</v>
      </c>
      <c r="G30" s="4"/>
      <c r="H30" s="6" t="s">
        <v>20</v>
      </c>
      <c r="I30" s="4">
        <v>7461</v>
      </c>
      <c r="J30" s="4">
        <v>0</v>
      </c>
      <c r="K30" s="6" t="s">
        <v>20</v>
      </c>
      <c r="L30" s="4">
        <v>54</v>
      </c>
      <c r="M30" s="4">
        <f>1550-650</f>
        <v>900</v>
      </c>
      <c r="N30" s="6" t="s">
        <v>20</v>
      </c>
      <c r="O30" s="6" t="s">
        <v>20</v>
      </c>
      <c r="P30" s="4" t="str">
        <f>Table1[[#This Row],[Trap ID]]</f>
        <v>CARP-22</v>
      </c>
      <c r="Q30" s="4"/>
    </row>
    <row r="31" spans="1:17" x14ac:dyDescent="0.2">
      <c r="A31" s="4" t="s">
        <v>17</v>
      </c>
      <c r="B31" s="4" t="s">
        <v>18</v>
      </c>
      <c r="C31" s="5">
        <v>44713</v>
      </c>
      <c r="D31" s="4"/>
      <c r="E31" s="6" t="s">
        <v>32</v>
      </c>
      <c r="F31" s="4">
        <v>9.3000000000000007</v>
      </c>
      <c r="G31" s="4"/>
      <c r="H31" s="6" t="s">
        <v>20</v>
      </c>
      <c r="I31" s="4">
        <v>7205</v>
      </c>
      <c r="J31" s="4">
        <v>0</v>
      </c>
      <c r="K31" s="6" t="s">
        <v>20</v>
      </c>
      <c r="L31" s="4">
        <v>68</v>
      </c>
      <c r="M31" s="4">
        <f>4100-650</f>
        <v>3450</v>
      </c>
      <c r="N31" s="6" t="s">
        <v>20</v>
      </c>
      <c r="O31" s="6" t="s">
        <v>20</v>
      </c>
      <c r="P31" s="4" t="str">
        <f>Table1[[#This Row],[Trap ID]]</f>
        <v>CARP-344</v>
      </c>
      <c r="Q31" s="4"/>
    </row>
    <row r="32" spans="1:17" x14ac:dyDescent="0.2">
      <c r="A32" s="4" t="s">
        <v>17</v>
      </c>
      <c r="B32" s="4" t="s">
        <v>18</v>
      </c>
      <c r="C32" s="5">
        <v>44713</v>
      </c>
      <c r="D32" s="4"/>
      <c r="E32" s="6" t="s">
        <v>32</v>
      </c>
      <c r="F32" s="4">
        <v>9.3000000000000007</v>
      </c>
      <c r="G32" s="4"/>
      <c r="H32" s="6" t="s">
        <v>20</v>
      </c>
      <c r="I32" s="4">
        <v>7043</v>
      </c>
      <c r="J32" s="4">
        <v>100</v>
      </c>
      <c r="K32" s="6" t="s">
        <v>20</v>
      </c>
      <c r="L32" s="4">
        <v>66</v>
      </c>
      <c r="M32" s="4">
        <f>2900-650</f>
        <v>2250</v>
      </c>
      <c r="N32" s="6" t="s">
        <v>20</v>
      </c>
      <c r="O32" s="6" t="s">
        <v>20</v>
      </c>
      <c r="P32" s="4" t="str">
        <f>Table1[[#This Row],[Trap ID]]</f>
        <v>CARP-344</v>
      </c>
      <c r="Q32" s="4"/>
    </row>
    <row r="33" spans="1:17" x14ac:dyDescent="0.2">
      <c r="A33" s="4" t="s">
        <v>17</v>
      </c>
      <c r="B33" s="4" t="s">
        <v>18</v>
      </c>
      <c r="C33" s="5">
        <v>44713</v>
      </c>
      <c r="D33" s="4"/>
      <c r="E33" s="6" t="s">
        <v>33</v>
      </c>
      <c r="F33" s="4">
        <v>9.6999999999999993</v>
      </c>
      <c r="G33" s="4"/>
      <c r="H33" s="6" t="s">
        <v>20</v>
      </c>
      <c r="I33" s="4">
        <v>7045</v>
      </c>
      <c r="J33" s="4">
        <v>100</v>
      </c>
      <c r="K33" s="6" t="s">
        <v>20</v>
      </c>
      <c r="L33" s="4">
        <v>70.5</v>
      </c>
      <c r="M33" s="4">
        <f>2600-650</f>
        <v>1950</v>
      </c>
      <c r="N33" s="6" t="s">
        <v>20</v>
      </c>
      <c r="O33" s="6" t="s">
        <v>20</v>
      </c>
      <c r="P33" s="4" t="str">
        <f>Table1[[#This Row],[Trap ID]]</f>
        <v>CARP-371</v>
      </c>
      <c r="Q33" s="4"/>
    </row>
    <row r="34" spans="1:17" x14ac:dyDescent="0.2">
      <c r="A34" s="4" t="s">
        <v>17</v>
      </c>
      <c r="B34" s="4" t="s">
        <v>18</v>
      </c>
      <c r="C34" s="5">
        <v>44713</v>
      </c>
      <c r="D34" s="4"/>
      <c r="E34" s="6" t="s">
        <v>35</v>
      </c>
      <c r="F34" s="4">
        <v>7.1</v>
      </c>
      <c r="G34" s="4"/>
      <c r="H34" s="6" t="s">
        <v>20</v>
      </c>
      <c r="I34" s="4">
        <v>7044</v>
      </c>
      <c r="J34" s="4">
        <v>100</v>
      </c>
      <c r="K34" s="6" t="s">
        <v>20</v>
      </c>
      <c r="L34" s="4">
        <v>68.5</v>
      </c>
      <c r="M34" s="4">
        <f>3000-650</f>
        <v>2350</v>
      </c>
      <c r="N34" s="6" t="s">
        <v>20</v>
      </c>
      <c r="O34" s="6" t="s">
        <v>20</v>
      </c>
      <c r="P34" s="4" t="str">
        <f>Table1[[#This Row],[Trap ID]]</f>
        <v>CARP-379</v>
      </c>
      <c r="Q34" s="4"/>
    </row>
    <row r="35" spans="1:17" x14ac:dyDescent="0.2">
      <c r="A35" s="4" t="s">
        <v>17</v>
      </c>
      <c r="B35" s="4" t="s">
        <v>18</v>
      </c>
      <c r="C35" s="5">
        <v>44713</v>
      </c>
      <c r="D35" s="4"/>
      <c r="E35" s="6" t="s">
        <v>37</v>
      </c>
      <c r="F35" s="4">
        <v>9.1999999999999993</v>
      </c>
      <c r="G35" s="4"/>
      <c r="H35" s="6" t="s">
        <v>20</v>
      </c>
      <c r="I35" s="4">
        <v>7462</v>
      </c>
      <c r="J35" s="4">
        <v>0</v>
      </c>
      <c r="K35" s="6" t="s">
        <v>20</v>
      </c>
      <c r="L35" s="4">
        <v>79</v>
      </c>
      <c r="M35" s="6">
        <v>5000</v>
      </c>
      <c r="N35" s="6" t="s">
        <v>20</v>
      </c>
      <c r="O35" s="6" t="s">
        <v>20</v>
      </c>
      <c r="P35" s="4" t="str">
        <f>Table1[[#This Row],[Trap ID]]</f>
        <v>CARP-423</v>
      </c>
      <c r="Q35" s="6" t="s">
        <v>31</v>
      </c>
    </row>
    <row r="36" spans="1:17" x14ac:dyDescent="0.2">
      <c r="A36" s="4" t="s">
        <v>17</v>
      </c>
      <c r="B36" s="4" t="s">
        <v>18</v>
      </c>
      <c r="C36" s="5">
        <v>44713</v>
      </c>
      <c r="D36" s="4"/>
      <c r="E36" s="6" t="s">
        <v>43</v>
      </c>
      <c r="F36" s="4">
        <v>6.7</v>
      </c>
      <c r="G36" s="4"/>
      <c r="H36" s="6" t="s">
        <v>20</v>
      </c>
      <c r="I36" s="4">
        <v>7203</v>
      </c>
      <c r="J36" s="4">
        <v>0</v>
      </c>
      <c r="K36" s="6" t="s">
        <v>20</v>
      </c>
      <c r="L36" s="4">
        <v>76</v>
      </c>
      <c r="M36" s="4">
        <f>4100-650</f>
        <v>3450</v>
      </c>
      <c r="N36" s="6" t="s">
        <v>20</v>
      </c>
      <c r="O36" s="6" t="s">
        <v>20</v>
      </c>
      <c r="P36" s="4" t="str">
        <f>Table1[[#This Row],[Trap ID]]</f>
        <v>CARP-506</v>
      </c>
      <c r="Q36" s="4"/>
    </row>
    <row r="37" spans="1:17" x14ac:dyDescent="0.2">
      <c r="A37" s="4" t="s">
        <v>17</v>
      </c>
      <c r="B37" s="4" t="s">
        <v>18</v>
      </c>
      <c r="C37" s="5">
        <v>44713</v>
      </c>
      <c r="D37" s="4"/>
      <c r="E37" s="6" t="s">
        <v>43</v>
      </c>
      <c r="F37" s="4">
        <v>6.7</v>
      </c>
      <c r="G37" s="4"/>
      <c r="H37" s="6" t="s">
        <v>20</v>
      </c>
      <c r="I37" s="4">
        <v>7042</v>
      </c>
      <c r="J37" s="4">
        <v>100</v>
      </c>
      <c r="K37" s="6" t="s">
        <v>20</v>
      </c>
      <c r="L37" s="4">
        <v>73.5</v>
      </c>
      <c r="M37" s="4">
        <f>3150-650</f>
        <v>2500</v>
      </c>
      <c r="N37" s="6" t="s">
        <v>20</v>
      </c>
      <c r="O37" s="6" t="s">
        <v>20</v>
      </c>
      <c r="P37" s="4" t="str">
        <f>Table1[[#This Row],[Trap ID]]</f>
        <v>CARP-506</v>
      </c>
      <c r="Q37" s="4"/>
    </row>
    <row r="38" spans="1:17" x14ac:dyDescent="0.2">
      <c r="A38" s="4" t="s">
        <v>17</v>
      </c>
      <c r="B38" s="4" t="s">
        <v>18</v>
      </c>
      <c r="C38" s="5">
        <v>44713</v>
      </c>
      <c r="D38" s="4"/>
      <c r="E38" s="6" t="s">
        <v>44</v>
      </c>
      <c r="F38" s="4">
        <v>9.9</v>
      </c>
      <c r="G38" s="4"/>
      <c r="H38" s="6" t="s">
        <v>20</v>
      </c>
      <c r="I38" s="4">
        <v>7202</v>
      </c>
      <c r="J38" s="4">
        <v>0</v>
      </c>
      <c r="K38" s="6" t="s">
        <v>20</v>
      </c>
      <c r="L38" s="4">
        <v>60.5</v>
      </c>
      <c r="M38" s="4">
        <f>2100-650</f>
        <v>1450</v>
      </c>
      <c r="N38" s="6" t="s">
        <v>20</v>
      </c>
      <c r="O38" s="6" t="s">
        <v>20</v>
      </c>
      <c r="P38" s="4" t="str">
        <f>Table1[[#This Row],[Trap ID]]</f>
        <v>CARP-564</v>
      </c>
      <c r="Q38" s="4"/>
    </row>
    <row r="39" spans="1:17" x14ac:dyDescent="0.2">
      <c r="A39" s="4" t="s">
        <v>17</v>
      </c>
      <c r="B39" s="4" t="s">
        <v>18</v>
      </c>
      <c r="C39" s="5">
        <v>44713</v>
      </c>
      <c r="D39" s="4"/>
      <c r="E39" s="6" t="s">
        <v>45</v>
      </c>
      <c r="F39" s="4">
        <v>5.3</v>
      </c>
      <c r="G39" s="4"/>
      <c r="H39" s="6" t="s">
        <v>20</v>
      </c>
      <c r="I39" s="6" t="s">
        <v>20</v>
      </c>
      <c r="J39" s="6" t="s">
        <v>20</v>
      </c>
      <c r="K39" s="6" t="s">
        <v>20</v>
      </c>
      <c r="L39" s="4">
        <v>6.5</v>
      </c>
      <c r="M39" s="6" t="s">
        <v>20</v>
      </c>
      <c r="N39" s="6" t="s">
        <v>20</v>
      </c>
      <c r="O39" s="6" t="s">
        <v>20</v>
      </c>
      <c r="P39" s="4" t="str">
        <f>Table1[[#This Row],[Trap ID]]</f>
        <v>CARP-62</v>
      </c>
      <c r="Q39" s="4"/>
    </row>
    <row r="40" spans="1:17" x14ac:dyDescent="0.2">
      <c r="A40" s="4" t="s">
        <v>17</v>
      </c>
      <c r="B40" s="4" t="s">
        <v>18</v>
      </c>
      <c r="C40" s="5">
        <v>44713</v>
      </c>
      <c r="D40" s="4"/>
      <c r="E40" s="6" t="s">
        <v>47</v>
      </c>
      <c r="F40" s="4">
        <v>10.199999999999999</v>
      </c>
      <c r="G40" s="4"/>
      <c r="H40" s="6" t="s">
        <v>20</v>
      </c>
      <c r="I40" s="4">
        <v>7046</v>
      </c>
      <c r="J40" s="4">
        <v>100</v>
      </c>
      <c r="K40" s="6" t="s">
        <v>20</v>
      </c>
      <c r="L40" s="4">
        <v>81.5</v>
      </c>
      <c r="M40" s="4">
        <f>4450-650</f>
        <v>3800</v>
      </c>
      <c r="N40" s="6" t="s">
        <v>20</v>
      </c>
      <c r="O40" s="6" t="s">
        <v>20</v>
      </c>
      <c r="P40" s="4" t="str">
        <f>Table1[[#This Row],[Trap ID]]</f>
        <v>CARP-671</v>
      </c>
      <c r="Q40" s="4"/>
    </row>
    <row r="41" spans="1:17" x14ac:dyDescent="0.2">
      <c r="A41" s="4" t="s">
        <v>17</v>
      </c>
      <c r="B41" s="4" t="s">
        <v>18</v>
      </c>
      <c r="C41" s="5">
        <v>44713</v>
      </c>
      <c r="D41" s="4"/>
      <c r="E41" s="6" t="s">
        <v>47</v>
      </c>
      <c r="F41" s="4">
        <v>10.199999999999999</v>
      </c>
      <c r="G41" s="4"/>
      <c r="H41" s="6" t="s">
        <v>20</v>
      </c>
      <c r="I41" s="4">
        <v>7463</v>
      </c>
      <c r="J41" s="4">
        <v>0</v>
      </c>
      <c r="K41" s="6" t="s">
        <v>20</v>
      </c>
      <c r="L41" s="4">
        <v>57</v>
      </c>
      <c r="M41" s="4">
        <f>1750-650</f>
        <v>1100</v>
      </c>
      <c r="N41" s="6" t="s">
        <v>20</v>
      </c>
      <c r="O41" s="6" t="s">
        <v>20</v>
      </c>
      <c r="P41" s="4" t="str">
        <f>Table1[[#This Row],[Trap ID]]</f>
        <v>CARP-671</v>
      </c>
      <c r="Q41" s="4"/>
    </row>
    <row r="42" spans="1:17" x14ac:dyDescent="0.2">
      <c r="A42" s="4" t="s">
        <v>17</v>
      </c>
      <c r="B42" s="4" t="s">
        <v>18</v>
      </c>
      <c r="C42" s="5">
        <v>44713</v>
      </c>
      <c r="D42" s="4"/>
      <c r="E42" s="6" t="s">
        <v>48</v>
      </c>
      <c r="F42" s="4">
        <v>4.7</v>
      </c>
      <c r="G42" s="4"/>
      <c r="H42" s="6" t="s">
        <v>20</v>
      </c>
      <c r="I42" s="4">
        <v>7041</v>
      </c>
      <c r="J42" s="4">
        <v>100</v>
      </c>
      <c r="K42" s="6" t="s">
        <v>20</v>
      </c>
      <c r="L42" s="4">
        <v>59</v>
      </c>
      <c r="M42" s="4">
        <f>2000-650</f>
        <v>1350</v>
      </c>
      <c r="N42" s="6" t="s">
        <v>20</v>
      </c>
      <c r="O42" s="6" t="s">
        <v>20</v>
      </c>
      <c r="P42" s="4" t="str">
        <f>Table1[[#This Row],[Trap ID]]</f>
        <v>CARP-680</v>
      </c>
      <c r="Q42" s="4"/>
    </row>
    <row r="43" spans="1:17" x14ac:dyDescent="0.2">
      <c r="A43" s="4" t="s">
        <v>17</v>
      </c>
      <c r="B43" s="4" t="s">
        <v>18</v>
      </c>
      <c r="C43" s="5">
        <v>44713</v>
      </c>
      <c r="D43" s="4"/>
      <c r="E43" s="6" t="s">
        <v>51</v>
      </c>
      <c r="F43" s="4">
        <v>5.3</v>
      </c>
      <c r="G43" s="4"/>
      <c r="H43" s="6" t="s">
        <v>20</v>
      </c>
      <c r="I43" s="6" t="s">
        <v>20</v>
      </c>
      <c r="J43" s="6" t="s">
        <v>20</v>
      </c>
      <c r="K43" s="6" t="s">
        <v>20</v>
      </c>
      <c r="L43" s="4">
        <v>5</v>
      </c>
      <c r="M43" s="6" t="s">
        <v>20</v>
      </c>
      <c r="N43" s="6" t="s">
        <v>20</v>
      </c>
      <c r="O43" s="6" t="s">
        <v>20</v>
      </c>
      <c r="P43" s="4" t="str">
        <f>Table1[[#This Row],[Trap ID]]</f>
        <v>CARP-804</v>
      </c>
      <c r="Q43" s="6" t="s">
        <v>24</v>
      </c>
    </row>
    <row r="44" spans="1:17" x14ac:dyDescent="0.2">
      <c r="A44" s="4" t="s">
        <v>17</v>
      </c>
      <c r="B44" s="4" t="s">
        <v>18</v>
      </c>
      <c r="C44" s="5">
        <v>44713</v>
      </c>
      <c r="D44" s="4"/>
      <c r="E44" s="6" t="s">
        <v>58</v>
      </c>
      <c r="F44" s="4">
        <v>4.0999999999999996</v>
      </c>
      <c r="G44" s="4"/>
      <c r="H44" s="6" t="s">
        <v>20</v>
      </c>
      <c r="I44" s="6" t="s">
        <v>20</v>
      </c>
      <c r="J44" s="6" t="s">
        <v>20</v>
      </c>
      <c r="K44" s="6" t="s">
        <v>20</v>
      </c>
      <c r="L44" s="4">
        <v>8</v>
      </c>
      <c r="M44" s="4">
        <v>30</v>
      </c>
      <c r="N44" s="6" t="s">
        <v>20</v>
      </c>
      <c r="O44" s="6" t="s">
        <v>20</v>
      </c>
      <c r="P44" s="4" t="str">
        <f>Table1[[#This Row],[Trap ID]]</f>
        <v>CARP-883</v>
      </c>
      <c r="Q44" s="6" t="s">
        <v>24</v>
      </c>
    </row>
    <row r="45" spans="1:17" x14ac:dyDescent="0.2">
      <c r="A45" s="4" t="s">
        <v>17</v>
      </c>
      <c r="B45" s="4" t="s">
        <v>18</v>
      </c>
      <c r="C45" s="5">
        <v>44713</v>
      </c>
      <c r="D45" s="4"/>
      <c r="E45" s="6" t="s">
        <v>61</v>
      </c>
      <c r="F45" s="4">
        <v>8.9</v>
      </c>
      <c r="G45" s="4"/>
      <c r="H45" s="6" t="s">
        <v>20</v>
      </c>
      <c r="I45" s="4">
        <v>7206</v>
      </c>
      <c r="J45" s="4">
        <v>0</v>
      </c>
      <c r="K45" s="6" t="s">
        <v>20</v>
      </c>
      <c r="L45" s="4">
        <v>60</v>
      </c>
      <c r="M45" s="4">
        <f>2200-650</f>
        <v>1550</v>
      </c>
      <c r="N45" s="6" t="s">
        <v>20</v>
      </c>
      <c r="O45" s="6" t="s">
        <v>20</v>
      </c>
      <c r="P45" s="4" t="str">
        <f>Table1[[#This Row],[Trap ID]]</f>
        <v>CARP-95</v>
      </c>
      <c r="Q45" s="4"/>
    </row>
    <row r="46" spans="1:17" x14ac:dyDescent="0.2">
      <c r="A46" s="4" t="s">
        <v>17</v>
      </c>
      <c r="B46" s="4" t="s">
        <v>18</v>
      </c>
      <c r="C46" s="5">
        <v>44714</v>
      </c>
      <c r="D46" s="4"/>
      <c r="E46" s="6" t="s">
        <v>21</v>
      </c>
      <c r="F46" s="4">
        <v>4.0999999999999996</v>
      </c>
      <c r="G46" s="4"/>
      <c r="H46" s="6" t="s">
        <v>20</v>
      </c>
      <c r="I46" s="4">
        <v>7465</v>
      </c>
      <c r="J46" s="4">
        <v>0</v>
      </c>
      <c r="K46" s="6" t="s">
        <v>20</v>
      </c>
      <c r="L46" s="4">
        <v>70.5</v>
      </c>
      <c r="M46" s="4">
        <f>3500-650</f>
        <v>2850</v>
      </c>
      <c r="N46" s="6" t="s">
        <v>20</v>
      </c>
      <c r="O46" s="6" t="s">
        <v>20</v>
      </c>
      <c r="P46" s="4" t="str">
        <f>Table1[[#This Row],[Trap ID]]</f>
        <v>CARP-132</v>
      </c>
      <c r="Q46" s="4"/>
    </row>
    <row r="47" spans="1:17" x14ac:dyDescent="0.2">
      <c r="A47" s="4" t="s">
        <v>17</v>
      </c>
      <c r="B47" s="4" t="s">
        <v>18</v>
      </c>
      <c r="C47" s="5">
        <v>44714</v>
      </c>
      <c r="D47" s="4"/>
      <c r="E47" s="6" t="s">
        <v>27</v>
      </c>
      <c r="F47" s="4">
        <v>2.9</v>
      </c>
      <c r="G47" s="4"/>
      <c r="H47" s="6" t="s">
        <v>20</v>
      </c>
      <c r="I47" s="4">
        <v>7049</v>
      </c>
      <c r="J47" s="4">
        <v>100</v>
      </c>
      <c r="K47" s="6" t="s">
        <v>20</v>
      </c>
      <c r="L47" s="4">
        <v>53.5</v>
      </c>
      <c r="M47" s="4">
        <f>1900-650</f>
        <v>1250</v>
      </c>
      <c r="N47" s="6" t="s">
        <v>20</v>
      </c>
      <c r="O47" s="6" t="s">
        <v>20</v>
      </c>
      <c r="P47" s="4" t="str">
        <f>Table1[[#This Row],[Trap ID]]</f>
        <v>CARP-249</v>
      </c>
      <c r="Q47" s="4"/>
    </row>
    <row r="48" spans="1:17" x14ac:dyDescent="0.2">
      <c r="A48" s="4" t="s">
        <v>17</v>
      </c>
      <c r="B48" s="4" t="s">
        <v>18</v>
      </c>
      <c r="C48" s="5">
        <v>44714</v>
      </c>
      <c r="D48" s="4"/>
      <c r="E48" s="6" t="s">
        <v>28</v>
      </c>
      <c r="F48" s="4">
        <v>9.5</v>
      </c>
      <c r="G48" s="4"/>
      <c r="H48" s="6" t="s">
        <v>20</v>
      </c>
      <c r="I48" s="4">
        <v>7464</v>
      </c>
      <c r="J48" s="4">
        <v>0</v>
      </c>
      <c r="K48" s="6" t="s">
        <v>20</v>
      </c>
      <c r="L48" s="4">
        <v>87.5</v>
      </c>
      <c r="M48" s="4">
        <f>4000-650</f>
        <v>3350</v>
      </c>
      <c r="N48" s="6" t="s">
        <v>20</v>
      </c>
      <c r="O48" s="6" t="s">
        <v>20</v>
      </c>
      <c r="P48" s="4" t="str">
        <f>Table1[[#This Row],[Trap ID]]</f>
        <v>CARP-305</v>
      </c>
      <c r="Q48" s="4"/>
    </row>
    <row r="49" spans="1:17" x14ac:dyDescent="0.2">
      <c r="A49" s="4" t="s">
        <v>17</v>
      </c>
      <c r="B49" s="4" t="s">
        <v>18</v>
      </c>
      <c r="C49" s="5">
        <v>44714</v>
      </c>
      <c r="D49" s="4"/>
      <c r="E49" s="6" t="s">
        <v>29</v>
      </c>
      <c r="F49" s="4">
        <v>8.1999999999999993</v>
      </c>
      <c r="G49" s="4"/>
      <c r="H49" s="6" t="s">
        <v>20</v>
      </c>
      <c r="I49" s="4">
        <v>7466</v>
      </c>
      <c r="J49" s="4">
        <v>0</v>
      </c>
      <c r="K49" s="6" t="s">
        <v>20</v>
      </c>
      <c r="L49" s="4">
        <v>69</v>
      </c>
      <c r="M49" s="4">
        <f>2250-650</f>
        <v>1600</v>
      </c>
      <c r="N49" s="6" t="s">
        <v>20</v>
      </c>
      <c r="O49" s="6" t="s">
        <v>20</v>
      </c>
      <c r="P49" s="4" t="str">
        <f>Table1[[#This Row],[Trap ID]]</f>
        <v>CARP-328</v>
      </c>
      <c r="Q49" s="4"/>
    </row>
    <row r="50" spans="1:17" x14ac:dyDescent="0.2">
      <c r="A50" s="4" t="s">
        <v>17</v>
      </c>
      <c r="B50" s="4" t="s">
        <v>18</v>
      </c>
      <c r="C50" s="5">
        <v>44714</v>
      </c>
      <c r="D50" s="4"/>
      <c r="E50" s="6" t="s">
        <v>30</v>
      </c>
      <c r="F50" s="4">
        <v>9.9</v>
      </c>
      <c r="G50" s="4"/>
      <c r="H50" s="6" t="s">
        <v>20</v>
      </c>
      <c r="I50" s="4">
        <v>7050</v>
      </c>
      <c r="J50" s="4">
        <v>100</v>
      </c>
      <c r="K50" s="6" t="s">
        <v>20</v>
      </c>
      <c r="L50" s="4">
        <v>92</v>
      </c>
      <c r="M50" s="6">
        <v>5000</v>
      </c>
      <c r="N50" s="6" t="s">
        <v>20</v>
      </c>
      <c r="O50" s="6" t="s">
        <v>20</v>
      </c>
      <c r="P50" s="4" t="str">
        <f>Table1[[#This Row],[Trap ID]]</f>
        <v>CARP-339</v>
      </c>
      <c r="Q50" s="6" t="s">
        <v>31</v>
      </c>
    </row>
    <row r="51" spans="1:17" x14ac:dyDescent="0.2">
      <c r="A51" s="4" t="s">
        <v>17</v>
      </c>
      <c r="B51" s="4" t="s">
        <v>18</v>
      </c>
      <c r="C51" s="5">
        <v>44714</v>
      </c>
      <c r="D51" s="4"/>
      <c r="E51" s="6" t="s">
        <v>46</v>
      </c>
      <c r="F51" s="4">
        <v>9.4</v>
      </c>
      <c r="G51" s="4"/>
      <c r="H51" s="6" t="s">
        <v>20</v>
      </c>
      <c r="I51" s="4">
        <v>7047</v>
      </c>
      <c r="J51" s="4">
        <v>100</v>
      </c>
      <c r="K51" s="6" t="s">
        <v>20</v>
      </c>
      <c r="L51" s="4">
        <v>60</v>
      </c>
      <c r="M51" s="4">
        <f>2300-650</f>
        <v>1650</v>
      </c>
      <c r="N51" s="6" t="s">
        <v>20</v>
      </c>
      <c r="O51" s="6" t="s">
        <v>20</v>
      </c>
      <c r="P51" s="4" t="str">
        <f>Table1[[#This Row],[Trap ID]]</f>
        <v>CARP-647</v>
      </c>
      <c r="Q51" s="4"/>
    </row>
    <row r="52" spans="1:17" x14ac:dyDescent="0.2">
      <c r="A52" s="4" t="s">
        <v>17</v>
      </c>
      <c r="B52" s="4" t="s">
        <v>18</v>
      </c>
      <c r="C52" s="5">
        <v>44714</v>
      </c>
      <c r="D52" s="4"/>
      <c r="E52" s="6" t="s">
        <v>63</v>
      </c>
      <c r="F52" s="4">
        <v>4.8</v>
      </c>
      <c r="G52" s="4"/>
      <c r="H52" s="6" t="s">
        <v>20</v>
      </c>
      <c r="I52" s="4">
        <v>7048</v>
      </c>
      <c r="J52" s="4">
        <v>100</v>
      </c>
      <c r="K52" s="6" t="s">
        <v>20</v>
      </c>
      <c r="L52" s="4">
        <v>55</v>
      </c>
      <c r="M52" s="4">
        <f>2000-650</f>
        <v>1350</v>
      </c>
      <c r="N52" s="6" t="s">
        <v>20</v>
      </c>
      <c r="O52" s="6" t="s">
        <v>20</v>
      </c>
      <c r="P52" s="4" t="str">
        <f>Table1[[#This Row],[Trap ID]]</f>
        <v>CARP-994</v>
      </c>
      <c r="Q52" s="4"/>
    </row>
    <row r="53" spans="1:17" x14ac:dyDescent="0.2">
      <c r="A53" s="4" t="s">
        <v>17</v>
      </c>
      <c r="B53" s="4" t="s">
        <v>18</v>
      </c>
      <c r="C53" s="7">
        <v>44715</v>
      </c>
      <c r="D53" s="4"/>
      <c r="E53" s="6" t="s">
        <v>34</v>
      </c>
      <c r="F53" s="4">
        <v>4</v>
      </c>
      <c r="G53" s="4"/>
      <c r="H53" s="6" t="s">
        <v>20</v>
      </c>
      <c r="I53" s="4">
        <v>7053</v>
      </c>
      <c r="J53" s="4">
        <v>100</v>
      </c>
      <c r="K53" s="6" t="s">
        <v>20</v>
      </c>
      <c r="L53" s="4">
        <v>63.5</v>
      </c>
      <c r="M53" s="4">
        <f>2250-650</f>
        <v>1600</v>
      </c>
      <c r="N53" s="6" t="s">
        <v>20</v>
      </c>
      <c r="O53" s="6" t="s">
        <v>20</v>
      </c>
      <c r="P53" s="4" t="str">
        <f>Table1[[#This Row],[Trap ID]]</f>
        <v>CARP-375</v>
      </c>
      <c r="Q53" s="4"/>
    </row>
    <row r="54" spans="1:17" x14ac:dyDescent="0.2">
      <c r="A54" s="4" t="s">
        <v>17</v>
      </c>
      <c r="B54" s="4" t="s">
        <v>18</v>
      </c>
      <c r="C54" s="7">
        <v>44715</v>
      </c>
      <c r="D54" s="4"/>
      <c r="E54" s="6" t="s">
        <v>36</v>
      </c>
      <c r="F54" s="4">
        <v>3</v>
      </c>
      <c r="G54" s="4"/>
      <c r="H54" s="6" t="s">
        <v>20</v>
      </c>
      <c r="I54" s="6" t="s">
        <v>20</v>
      </c>
      <c r="J54" s="6" t="s">
        <v>20</v>
      </c>
      <c r="K54" s="6" t="s">
        <v>20</v>
      </c>
      <c r="L54" s="4">
        <v>8</v>
      </c>
      <c r="M54" s="6" t="s">
        <v>20</v>
      </c>
      <c r="N54" s="6" t="s">
        <v>20</v>
      </c>
      <c r="O54" s="6" t="s">
        <v>20</v>
      </c>
      <c r="P54" s="4" t="str">
        <f>Table1[[#This Row],[Trap ID]]</f>
        <v>CARP-396</v>
      </c>
      <c r="Q54" s="6" t="s">
        <v>24</v>
      </c>
    </row>
    <row r="55" spans="1:17" x14ac:dyDescent="0.2">
      <c r="A55" s="4" t="s">
        <v>17</v>
      </c>
      <c r="B55" s="4" t="s">
        <v>18</v>
      </c>
      <c r="C55" s="5">
        <v>44715</v>
      </c>
      <c r="D55" s="4"/>
      <c r="E55" s="6" t="s">
        <v>40</v>
      </c>
      <c r="F55" s="4">
        <v>10.3</v>
      </c>
      <c r="G55" s="4"/>
      <c r="H55" s="6" t="s">
        <v>20</v>
      </c>
      <c r="I55" s="4">
        <v>7467</v>
      </c>
      <c r="J55" s="4">
        <v>0</v>
      </c>
      <c r="K55" s="6" t="s">
        <v>20</v>
      </c>
      <c r="L55" s="4">
        <v>74</v>
      </c>
      <c r="M55" s="4">
        <f>3500-650</f>
        <v>2850</v>
      </c>
      <c r="N55" s="6" t="s">
        <v>20</v>
      </c>
      <c r="O55" s="6" t="s">
        <v>20</v>
      </c>
      <c r="P55" s="4" t="str">
        <f>Table1[[#This Row],[Trap ID]]</f>
        <v>CARP-449</v>
      </c>
      <c r="Q55" s="4"/>
    </row>
    <row r="56" spans="1:17" x14ac:dyDescent="0.2">
      <c r="A56" s="4" t="s">
        <v>17</v>
      </c>
      <c r="B56" s="4" t="s">
        <v>18</v>
      </c>
      <c r="C56" s="7">
        <v>44715</v>
      </c>
      <c r="D56" s="4"/>
      <c r="E56" s="6" t="s">
        <v>49</v>
      </c>
      <c r="F56" s="4">
        <v>9.6</v>
      </c>
      <c r="G56" s="4"/>
      <c r="H56" s="6" t="s">
        <v>20</v>
      </c>
      <c r="I56" s="4">
        <v>7469</v>
      </c>
      <c r="J56" s="4">
        <v>0</v>
      </c>
      <c r="K56" s="6" t="s">
        <v>20</v>
      </c>
      <c r="L56" s="4">
        <v>60</v>
      </c>
      <c r="M56" s="4">
        <f>2050-650</f>
        <v>1400</v>
      </c>
      <c r="N56" s="6" t="s">
        <v>20</v>
      </c>
      <c r="O56" s="6" t="s">
        <v>20</v>
      </c>
      <c r="P56" s="4" t="str">
        <f>Table1[[#This Row],[Trap ID]]</f>
        <v>CARP-71</v>
      </c>
      <c r="Q56" s="4"/>
    </row>
    <row r="57" spans="1:17" x14ac:dyDescent="0.2">
      <c r="A57" s="4" t="s">
        <v>17</v>
      </c>
      <c r="B57" s="4" t="s">
        <v>18</v>
      </c>
      <c r="C57" s="7">
        <v>44715</v>
      </c>
      <c r="D57" s="4"/>
      <c r="E57" s="6" t="s">
        <v>53</v>
      </c>
      <c r="F57" s="4">
        <v>10.199999999999999</v>
      </c>
      <c r="G57" s="4"/>
      <c r="H57" s="6" t="s">
        <v>20</v>
      </c>
      <c r="I57" s="6" t="s">
        <v>20</v>
      </c>
      <c r="J57" s="6" t="s">
        <v>20</v>
      </c>
      <c r="K57" s="6" t="s">
        <v>20</v>
      </c>
      <c r="L57" s="4">
        <v>6.5</v>
      </c>
      <c r="M57" s="6" t="s">
        <v>20</v>
      </c>
      <c r="N57" s="6" t="s">
        <v>20</v>
      </c>
      <c r="O57" s="6" t="s">
        <v>20</v>
      </c>
      <c r="P57" s="4" t="str">
        <f>Table1[[#This Row],[Trap ID]]</f>
        <v>CARP-832</v>
      </c>
      <c r="Q57" s="6" t="s">
        <v>24</v>
      </c>
    </row>
    <row r="58" spans="1:17" x14ac:dyDescent="0.2">
      <c r="A58" s="4" t="s">
        <v>17</v>
      </c>
      <c r="B58" s="4" t="s">
        <v>18</v>
      </c>
      <c r="C58" s="7">
        <v>44715</v>
      </c>
      <c r="D58" s="4"/>
      <c r="E58" s="6" t="s">
        <v>57</v>
      </c>
      <c r="F58" s="4">
        <v>5.7</v>
      </c>
      <c r="G58" s="4"/>
      <c r="H58" s="6" t="s">
        <v>20</v>
      </c>
      <c r="I58" s="4">
        <v>7052</v>
      </c>
      <c r="J58" s="4">
        <v>100</v>
      </c>
      <c r="K58" s="6" t="s">
        <v>20</v>
      </c>
      <c r="L58" s="4">
        <v>60</v>
      </c>
      <c r="M58" s="4">
        <f>2100-650</f>
        <v>1450</v>
      </c>
      <c r="N58" s="6" t="s">
        <v>20</v>
      </c>
      <c r="O58" s="6" t="s">
        <v>20</v>
      </c>
      <c r="P58" s="4" t="str">
        <f>Table1[[#This Row],[Trap ID]]</f>
        <v>CARP-88</v>
      </c>
      <c r="Q58" s="4"/>
    </row>
    <row r="59" spans="1:17" x14ac:dyDescent="0.2">
      <c r="A59" s="4" t="s">
        <v>17</v>
      </c>
      <c r="B59" s="4" t="s">
        <v>18</v>
      </c>
      <c r="C59" s="7">
        <v>44715</v>
      </c>
      <c r="D59" s="4"/>
      <c r="E59" s="6" t="s">
        <v>59</v>
      </c>
      <c r="F59" s="4">
        <v>6.4</v>
      </c>
      <c r="G59" s="4"/>
      <c r="H59" s="6" t="s">
        <v>20</v>
      </c>
      <c r="I59" s="4">
        <v>7051</v>
      </c>
      <c r="J59" s="4">
        <v>100</v>
      </c>
      <c r="K59" s="6" t="s">
        <v>20</v>
      </c>
      <c r="L59" s="4">
        <v>77</v>
      </c>
      <c r="M59" s="4">
        <f>4400-650</f>
        <v>3750</v>
      </c>
      <c r="N59" s="6" t="s">
        <v>20</v>
      </c>
      <c r="O59" s="6" t="s">
        <v>20</v>
      </c>
      <c r="P59" s="4" t="str">
        <f>Table1[[#This Row],[Trap ID]]</f>
        <v>CARP-891</v>
      </c>
      <c r="Q59" s="4"/>
    </row>
    <row r="60" spans="1:17" x14ac:dyDescent="0.2">
      <c r="A60" s="4" t="s">
        <v>17</v>
      </c>
      <c r="B60" s="4" t="s">
        <v>18</v>
      </c>
      <c r="C60" s="7">
        <v>44715</v>
      </c>
      <c r="D60" s="4"/>
      <c r="E60" s="6" t="s">
        <v>59</v>
      </c>
      <c r="F60" s="4">
        <v>6.4</v>
      </c>
      <c r="G60" s="4"/>
      <c r="H60" s="6" t="s">
        <v>20</v>
      </c>
      <c r="I60" s="4">
        <v>7468</v>
      </c>
      <c r="J60" s="4">
        <v>0</v>
      </c>
      <c r="K60" s="6" t="s">
        <v>20</v>
      </c>
      <c r="L60" s="4">
        <v>62.5</v>
      </c>
      <c r="M60" s="4">
        <f>2100-650</f>
        <v>1450</v>
      </c>
      <c r="N60" s="6" t="s">
        <v>20</v>
      </c>
      <c r="O60" s="6" t="s">
        <v>20</v>
      </c>
      <c r="P60" s="4" t="str">
        <f>Table1[[#This Row],[Trap ID]]</f>
        <v>CARP-891</v>
      </c>
      <c r="Q60" s="4"/>
    </row>
    <row r="61" spans="1:17" x14ac:dyDescent="0.2">
      <c r="A61" t="s">
        <v>17</v>
      </c>
      <c r="B61" t="s">
        <v>110</v>
      </c>
      <c r="C61" s="1">
        <v>44719</v>
      </c>
      <c r="D61" s="2">
        <v>0.5625</v>
      </c>
      <c r="E61" t="s">
        <v>142</v>
      </c>
      <c r="F61">
        <v>7.9</v>
      </c>
      <c r="H61">
        <v>1388439</v>
      </c>
      <c r="I61">
        <v>7362</v>
      </c>
      <c r="J61">
        <v>100</v>
      </c>
      <c r="K61">
        <v>6909728</v>
      </c>
      <c r="L61">
        <v>59.5</v>
      </c>
      <c r="M61">
        <f>1700-650</f>
        <v>1050</v>
      </c>
      <c r="N61">
        <v>6</v>
      </c>
      <c r="O61">
        <v>10</v>
      </c>
      <c r="P61" t="s">
        <v>143</v>
      </c>
    </row>
    <row r="62" spans="1:17" x14ac:dyDescent="0.2">
      <c r="A62" t="s">
        <v>17</v>
      </c>
      <c r="B62" t="s">
        <v>110</v>
      </c>
      <c r="C62" s="1">
        <v>44719</v>
      </c>
      <c r="D62" s="2">
        <v>0.5625</v>
      </c>
      <c r="E62" t="s">
        <v>146</v>
      </c>
      <c r="F62">
        <v>4.8</v>
      </c>
      <c r="G62">
        <v>9.1</v>
      </c>
      <c r="H62">
        <v>1505874</v>
      </c>
      <c r="I62">
        <v>7054</v>
      </c>
      <c r="J62">
        <v>100</v>
      </c>
      <c r="K62">
        <v>6915619</v>
      </c>
      <c r="L62">
        <v>70</v>
      </c>
      <c r="M62">
        <f>2050-650</f>
        <v>1400</v>
      </c>
      <c r="N62">
        <v>7</v>
      </c>
      <c r="O62">
        <v>10</v>
      </c>
      <c r="P62" t="s">
        <v>143</v>
      </c>
      <c r="Q62" t="s">
        <v>147</v>
      </c>
    </row>
    <row r="63" spans="1:17" x14ac:dyDescent="0.2">
      <c r="A63" t="s">
        <v>17</v>
      </c>
      <c r="B63" t="s">
        <v>110</v>
      </c>
      <c r="C63" s="1">
        <v>44719</v>
      </c>
      <c r="E63" t="s">
        <v>138</v>
      </c>
      <c r="F63">
        <v>9.4</v>
      </c>
      <c r="H63" t="s">
        <v>20</v>
      </c>
      <c r="I63">
        <v>7474</v>
      </c>
      <c r="J63">
        <v>0</v>
      </c>
      <c r="K63" t="s">
        <v>20</v>
      </c>
      <c r="L63">
        <v>52.5</v>
      </c>
      <c r="M63">
        <v>600</v>
      </c>
      <c r="N63" t="s">
        <v>20</v>
      </c>
      <c r="O63" t="s">
        <v>20</v>
      </c>
      <c r="Q63" t="s">
        <v>139</v>
      </c>
    </row>
    <row r="64" spans="1:17" x14ac:dyDescent="0.2">
      <c r="A64" t="s">
        <v>17</v>
      </c>
      <c r="B64" t="s">
        <v>110</v>
      </c>
      <c r="C64" s="1">
        <v>44719</v>
      </c>
      <c r="E64" t="s">
        <v>148</v>
      </c>
      <c r="F64">
        <v>7.5</v>
      </c>
      <c r="G64">
        <v>12.1</v>
      </c>
      <c r="H64" t="s">
        <v>20</v>
      </c>
      <c r="I64">
        <v>7470</v>
      </c>
      <c r="J64">
        <v>0</v>
      </c>
      <c r="K64" t="s">
        <v>20</v>
      </c>
      <c r="L64">
        <v>43</v>
      </c>
      <c r="M64">
        <f>850-300</f>
        <v>550</v>
      </c>
      <c r="N64" t="s">
        <v>20</v>
      </c>
      <c r="O64" t="s">
        <v>20</v>
      </c>
      <c r="P64" t="s">
        <v>143</v>
      </c>
      <c r="Q64" t="s">
        <v>149</v>
      </c>
    </row>
    <row r="65" spans="1:17" x14ac:dyDescent="0.2">
      <c r="A65" t="s">
        <v>17</v>
      </c>
      <c r="B65" t="s">
        <v>110</v>
      </c>
      <c r="C65" s="1">
        <v>44720</v>
      </c>
      <c r="D65" s="2">
        <v>0.66666666666666663</v>
      </c>
      <c r="E65" t="s">
        <v>142</v>
      </c>
      <c r="F65">
        <v>9</v>
      </c>
      <c r="H65">
        <v>1388440</v>
      </c>
      <c r="I65">
        <v>7363</v>
      </c>
      <c r="J65">
        <v>100</v>
      </c>
      <c r="K65">
        <v>6910272</v>
      </c>
      <c r="L65">
        <v>68.5</v>
      </c>
      <c r="M65">
        <f>2500-650</f>
        <v>1850</v>
      </c>
      <c r="N65">
        <v>5.5</v>
      </c>
      <c r="O65">
        <v>10</v>
      </c>
      <c r="P65" t="s">
        <v>144</v>
      </c>
      <c r="Q65" t="s">
        <v>145</v>
      </c>
    </row>
    <row r="66" spans="1:17" x14ac:dyDescent="0.2">
      <c r="A66" t="s">
        <v>17</v>
      </c>
      <c r="B66" t="s">
        <v>110</v>
      </c>
      <c r="C66" s="1">
        <v>44722</v>
      </c>
      <c r="E66" t="s">
        <v>128</v>
      </c>
      <c r="F66">
        <v>8.1</v>
      </c>
      <c r="H66">
        <v>1388441</v>
      </c>
      <c r="I66">
        <v>7479</v>
      </c>
      <c r="J66">
        <v>0</v>
      </c>
      <c r="K66">
        <v>6918413</v>
      </c>
      <c r="L66">
        <v>43</v>
      </c>
      <c r="M66">
        <f>1000-650</f>
        <v>350</v>
      </c>
      <c r="N66">
        <v>15</v>
      </c>
      <c r="O66">
        <v>15</v>
      </c>
      <c r="Q66" t="s">
        <v>183</v>
      </c>
    </row>
    <row r="67" spans="1:17" x14ac:dyDescent="0.2">
      <c r="A67" t="s">
        <v>17</v>
      </c>
      <c r="B67" t="s">
        <v>110</v>
      </c>
      <c r="C67" s="1">
        <v>44722</v>
      </c>
      <c r="E67" t="s">
        <v>120</v>
      </c>
      <c r="F67">
        <v>9.6999999999999993</v>
      </c>
      <c r="H67">
        <v>1388442</v>
      </c>
      <c r="I67">
        <v>7368</v>
      </c>
      <c r="J67">
        <v>100</v>
      </c>
      <c r="K67">
        <v>6915344</v>
      </c>
      <c r="L67">
        <v>66</v>
      </c>
      <c r="M67">
        <f>2000-650</f>
        <v>1350</v>
      </c>
      <c r="N67">
        <v>7.5</v>
      </c>
      <c r="O67">
        <v>15</v>
      </c>
      <c r="Q67" t="s">
        <v>182</v>
      </c>
    </row>
    <row r="68" spans="1:17" x14ac:dyDescent="0.2">
      <c r="A68" t="s">
        <v>17</v>
      </c>
      <c r="B68" t="s">
        <v>110</v>
      </c>
      <c r="C68" s="1">
        <v>44722</v>
      </c>
      <c r="D68" s="2">
        <v>0.45555555555555555</v>
      </c>
      <c r="E68" t="s">
        <v>125</v>
      </c>
      <c r="F68">
        <v>6.9</v>
      </c>
      <c r="G68">
        <v>9.5</v>
      </c>
      <c r="H68">
        <v>1388443</v>
      </c>
      <c r="I68">
        <v>7475</v>
      </c>
      <c r="J68">
        <v>0</v>
      </c>
      <c r="K68">
        <v>6916664</v>
      </c>
      <c r="L68">
        <v>42</v>
      </c>
      <c r="M68">
        <f>1000-650</f>
        <v>350</v>
      </c>
      <c r="N68">
        <v>6.5</v>
      </c>
      <c r="O68">
        <v>15</v>
      </c>
      <c r="P68" t="s">
        <v>126</v>
      </c>
      <c r="Q68" t="s">
        <v>127</v>
      </c>
    </row>
    <row r="69" spans="1:17" x14ac:dyDescent="0.2">
      <c r="A69" t="s">
        <v>17</v>
      </c>
      <c r="B69" t="s">
        <v>110</v>
      </c>
      <c r="C69" s="1">
        <v>44722</v>
      </c>
      <c r="D69" s="2">
        <v>0.45555555555555555</v>
      </c>
      <c r="E69" t="s">
        <v>130</v>
      </c>
      <c r="F69">
        <v>3.5</v>
      </c>
      <c r="G69">
        <v>9.9</v>
      </c>
      <c r="H69">
        <v>1388451</v>
      </c>
      <c r="I69">
        <v>7365</v>
      </c>
      <c r="J69">
        <v>100</v>
      </c>
      <c r="K69">
        <v>6989393</v>
      </c>
      <c r="L69">
        <v>39.5</v>
      </c>
      <c r="M69">
        <f>1000-650</f>
        <v>350</v>
      </c>
      <c r="N69">
        <v>5</v>
      </c>
      <c r="O69">
        <v>10</v>
      </c>
      <c r="P69" t="s">
        <v>126</v>
      </c>
      <c r="Q69" t="s">
        <v>131</v>
      </c>
    </row>
    <row r="70" spans="1:17" x14ac:dyDescent="0.2">
      <c r="A70" t="s">
        <v>17</v>
      </c>
      <c r="B70" t="s">
        <v>110</v>
      </c>
      <c r="C70" s="1">
        <v>44722</v>
      </c>
      <c r="E70" t="s">
        <v>123</v>
      </c>
      <c r="F70">
        <v>9.1999999999999993</v>
      </c>
      <c r="H70">
        <v>1505872</v>
      </c>
      <c r="I70">
        <v>7477</v>
      </c>
      <c r="J70">
        <v>0</v>
      </c>
      <c r="K70">
        <v>6830373</v>
      </c>
      <c r="L70">
        <v>60.5</v>
      </c>
      <c r="M70">
        <f>1700-650</f>
        <v>1050</v>
      </c>
      <c r="N70">
        <v>7</v>
      </c>
      <c r="O70">
        <v>10</v>
      </c>
      <c r="Q70" t="s">
        <v>124</v>
      </c>
    </row>
    <row r="71" spans="1:17" x14ac:dyDescent="0.2">
      <c r="A71" t="s">
        <v>17</v>
      </c>
      <c r="B71" t="s">
        <v>110</v>
      </c>
      <c r="C71" s="1">
        <v>44722</v>
      </c>
      <c r="E71" t="s">
        <v>123</v>
      </c>
      <c r="F71">
        <v>9.1999999999999993</v>
      </c>
      <c r="H71">
        <v>1505873</v>
      </c>
      <c r="I71">
        <v>7366</v>
      </c>
      <c r="J71">
        <v>100</v>
      </c>
      <c r="K71">
        <v>6918722</v>
      </c>
      <c r="L71">
        <v>65.5</v>
      </c>
      <c r="M71">
        <f>1750-650</f>
        <v>1100</v>
      </c>
      <c r="N71">
        <v>8</v>
      </c>
      <c r="O71">
        <v>10</v>
      </c>
      <c r="Q71" t="s">
        <v>184</v>
      </c>
    </row>
    <row r="72" spans="1:17" x14ac:dyDescent="0.2">
      <c r="A72" t="s">
        <v>17</v>
      </c>
      <c r="B72" t="s">
        <v>110</v>
      </c>
      <c r="C72" s="1">
        <v>44722</v>
      </c>
      <c r="E72" t="s">
        <v>120</v>
      </c>
      <c r="F72">
        <v>9.6999999999999993</v>
      </c>
      <c r="H72" t="s">
        <v>20</v>
      </c>
      <c r="I72">
        <v>7480</v>
      </c>
      <c r="J72">
        <v>0</v>
      </c>
      <c r="K72" t="s">
        <v>20</v>
      </c>
      <c r="L72">
        <v>65.5</v>
      </c>
      <c r="M72">
        <f>1800-650</f>
        <v>1150</v>
      </c>
      <c r="N72" t="s">
        <v>20</v>
      </c>
      <c r="O72" t="s">
        <v>20</v>
      </c>
      <c r="P72" t="s">
        <v>121</v>
      </c>
      <c r="Q72" t="s">
        <v>122</v>
      </c>
    </row>
    <row r="73" spans="1:17" x14ac:dyDescent="0.2">
      <c r="A73" t="s">
        <v>17</v>
      </c>
      <c r="B73" t="s">
        <v>110</v>
      </c>
      <c r="C73" s="1">
        <v>44722</v>
      </c>
      <c r="E73" t="s">
        <v>123</v>
      </c>
      <c r="F73">
        <v>9.1999999999999993</v>
      </c>
      <c r="H73" t="s">
        <v>20</v>
      </c>
      <c r="I73">
        <v>7367</v>
      </c>
      <c r="J73">
        <v>100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</row>
    <row r="74" spans="1:17" x14ac:dyDescent="0.2">
      <c r="A74" t="s">
        <v>17</v>
      </c>
      <c r="B74" t="s">
        <v>110</v>
      </c>
      <c r="C74" s="1">
        <v>44722</v>
      </c>
      <c r="D74" s="2">
        <v>0.73958333333333337</v>
      </c>
      <c r="E74" t="s">
        <v>129</v>
      </c>
      <c r="F74">
        <v>9.6999999999999993</v>
      </c>
      <c r="H74" t="s">
        <v>20</v>
      </c>
      <c r="I74">
        <v>7476</v>
      </c>
      <c r="J74">
        <v>0</v>
      </c>
      <c r="K74" t="s">
        <v>20</v>
      </c>
      <c r="L74">
        <v>70</v>
      </c>
      <c r="M74">
        <f>2450-650</f>
        <v>1800</v>
      </c>
      <c r="N74" t="s">
        <v>20</v>
      </c>
      <c r="O74" t="s">
        <v>20</v>
      </c>
      <c r="P74" t="s">
        <v>121</v>
      </c>
    </row>
    <row r="75" spans="1:17" x14ac:dyDescent="0.2">
      <c r="A75" t="s">
        <v>17</v>
      </c>
      <c r="B75" t="s">
        <v>110</v>
      </c>
      <c r="C75" s="1">
        <v>44724</v>
      </c>
      <c r="E75" t="s">
        <v>117</v>
      </c>
      <c r="F75">
        <v>6.6</v>
      </c>
      <c r="H75" t="s">
        <v>20</v>
      </c>
      <c r="I75">
        <v>7481</v>
      </c>
      <c r="J75">
        <v>0</v>
      </c>
      <c r="K75" t="s">
        <v>20</v>
      </c>
      <c r="L75">
        <v>34</v>
      </c>
      <c r="M75">
        <v>150</v>
      </c>
      <c r="N75" t="s">
        <v>20</v>
      </c>
      <c r="O75" t="s">
        <v>20</v>
      </c>
      <c r="P75" t="s">
        <v>117</v>
      </c>
      <c r="Q75" t="s">
        <v>118</v>
      </c>
    </row>
    <row r="76" spans="1:17" x14ac:dyDescent="0.2">
      <c r="A76" t="s">
        <v>17</v>
      </c>
      <c r="B76" t="s">
        <v>110</v>
      </c>
      <c r="C76" s="1">
        <v>44724</v>
      </c>
      <c r="E76" t="s">
        <v>119</v>
      </c>
      <c r="F76">
        <v>4.0999999999999996</v>
      </c>
      <c r="H76" t="s">
        <v>20</v>
      </c>
      <c r="I76">
        <v>7370</v>
      </c>
      <c r="J76">
        <v>100</v>
      </c>
      <c r="K76" t="s">
        <v>20</v>
      </c>
      <c r="L76">
        <v>45</v>
      </c>
      <c r="M76">
        <f>1100-650</f>
        <v>450</v>
      </c>
      <c r="N76" t="s">
        <v>20</v>
      </c>
      <c r="O76" t="s">
        <v>20</v>
      </c>
      <c r="P76" t="s">
        <v>119</v>
      </c>
      <c r="Q76" t="s">
        <v>118</v>
      </c>
    </row>
    <row r="77" spans="1:17" x14ac:dyDescent="0.2">
      <c r="A77" s="6" t="s">
        <v>17</v>
      </c>
      <c r="B77" s="6" t="s">
        <v>18</v>
      </c>
      <c r="C77" s="5">
        <v>44733</v>
      </c>
      <c r="D77" s="4"/>
      <c r="E77" s="6" t="s">
        <v>66</v>
      </c>
      <c r="F77" s="4">
        <v>7.9</v>
      </c>
      <c r="G77" s="4"/>
      <c r="H77" s="6" t="s">
        <v>20</v>
      </c>
      <c r="I77" s="4">
        <v>7371</v>
      </c>
      <c r="J77" s="4">
        <v>100</v>
      </c>
      <c r="K77" s="6" t="s">
        <v>20</v>
      </c>
      <c r="L77" s="4">
        <v>64</v>
      </c>
      <c r="M77" s="4">
        <f>2400-650</f>
        <v>1750</v>
      </c>
      <c r="N77" s="6" t="s">
        <v>20</v>
      </c>
      <c r="O77" s="6" t="s">
        <v>20</v>
      </c>
      <c r="P77" s="4" t="str">
        <f>Table1[[#This Row],[Trap ID]]</f>
        <v>CARP2-184</v>
      </c>
      <c r="Q77" s="4"/>
    </row>
    <row r="78" spans="1:17" x14ac:dyDescent="0.2">
      <c r="A78" s="6" t="s">
        <v>17</v>
      </c>
      <c r="B78" s="6" t="s">
        <v>18</v>
      </c>
      <c r="C78" s="5">
        <v>44733</v>
      </c>
      <c r="D78" s="4"/>
      <c r="E78" s="6" t="s">
        <v>68</v>
      </c>
      <c r="F78" s="4">
        <v>9.5</v>
      </c>
      <c r="G78" s="4"/>
      <c r="H78" s="6" t="s">
        <v>20</v>
      </c>
      <c r="I78" s="4">
        <v>7484</v>
      </c>
      <c r="J78" s="4">
        <v>0</v>
      </c>
      <c r="K78" s="6" t="s">
        <v>20</v>
      </c>
      <c r="L78" s="4">
        <v>56</v>
      </c>
      <c r="M78" s="4">
        <f>1650-650</f>
        <v>1000</v>
      </c>
      <c r="N78" s="6" t="s">
        <v>20</v>
      </c>
      <c r="O78" s="6" t="s">
        <v>20</v>
      </c>
      <c r="P78" s="4" t="str">
        <f>Table1[[#This Row],[Trap ID]]</f>
        <v>CARP2-221</v>
      </c>
      <c r="Q78" s="4"/>
    </row>
    <row r="79" spans="1:17" x14ac:dyDescent="0.2">
      <c r="A79" s="6" t="s">
        <v>17</v>
      </c>
      <c r="B79" s="6" t="s">
        <v>18</v>
      </c>
      <c r="C79" s="5">
        <v>44733</v>
      </c>
      <c r="D79" s="4"/>
      <c r="E79" s="6" t="s">
        <v>70</v>
      </c>
      <c r="F79" s="4">
        <v>7.4</v>
      </c>
      <c r="G79" s="4"/>
      <c r="H79" s="6" t="s">
        <v>20</v>
      </c>
      <c r="I79" s="6" t="s">
        <v>20</v>
      </c>
      <c r="J79" s="6" t="s">
        <v>20</v>
      </c>
      <c r="K79" s="6" t="s">
        <v>20</v>
      </c>
      <c r="L79" s="4">
        <v>6</v>
      </c>
      <c r="M79" s="6" t="s">
        <v>20</v>
      </c>
      <c r="N79" s="6" t="s">
        <v>20</v>
      </c>
      <c r="O79" s="6" t="s">
        <v>20</v>
      </c>
      <c r="P79" s="4" t="str">
        <f>Table1[[#This Row],[Trap ID]]</f>
        <v>CARP2-271</v>
      </c>
      <c r="Q79" s="4"/>
    </row>
    <row r="80" spans="1:17" x14ac:dyDescent="0.2">
      <c r="A80" s="6" t="s">
        <v>17</v>
      </c>
      <c r="B80" s="6" t="s">
        <v>18</v>
      </c>
      <c r="C80" s="5">
        <v>44733</v>
      </c>
      <c r="D80" s="4"/>
      <c r="E80" s="6" t="s">
        <v>74</v>
      </c>
      <c r="F80" s="4">
        <v>8</v>
      </c>
      <c r="G80" s="4"/>
      <c r="H80" s="6" t="s">
        <v>20</v>
      </c>
      <c r="I80" s="4">
        <v>7485</v>
      </c>
      <c r="J80" s="4">
        <v>0</v>
      </c>
      <c r="K80" s="6" t="s">
        <v>20</v>
      </c>
      <c r="L80" s="4">
        <v>72.5</v>
      </c>
      <c r="M80" s="4">
        <f>3500-650</f>
        <v>2850</v>
      </c>
      <c r="N80" s="6" t="s">
        <v>20</v>
      </c>
      <c r="O80" s="6" t="s">
        <v>20</v>
      </c>
      <c r="P80" s="4" t="str">
        <f>Table1[[#This Row],[Trap ID]]</f>
        <v>CARP2-351</v>
      </c>
      <c r="Q80" s="4"/>
    </row>
    <row r="81" spans="1:17" x14ac:dyDescent="0.2">
      <c r="A81" s="6" t="s">
        <v>17</v>
      </c>
      <c r="B81" s="6" t="s">
        <v>18</v>
      </c>
      <c r="C81" s="5">
        <v>44733</v>
      </c>
      <c r="D81" s="4"/>
      <c r="E81" s="6" t="s">
        <v>74</v>
      </c>
      <c r="F81" s="4">
        <v>8</v>
      </c>
      <c r="G81" s="4"/>
      <c r="H81" s="6" t="s">
        <v>20</v>
      </c>
      <c r="I81" s="4">
        <v>7376</v>
      </c>
      <c r="J81" s="4">
        <v>100</v>
      </c>
      <c r="K81" s="6" t="s">
        <v>20</v>
      </c>
      <c r="L81" s="4">
        <v>63.5</v>
      </c>
      <c r="M81" s="4">
        <f>2400-650</f>
        <v>1750</v>
      </c>
      <c r="N81" s="6" t="s">
        <v>20</v>
      </c>
      <c r="O81" s="6" t="s">
        <v>20</v>
      </c>
      <c r="P81" s="4" t="str">
        <f>Table1[[#This Row],[Trap ID]]</f>
        <v>CARP2-351</v>
      </c>
      <c r="Q81" s="4"/>
    </row>
    <row r="82" spans="1:17" x14ac:dyDescent="0.2">
      <c r="A82" s="6" t="s">
        <v>17</v>
      </c>
      <c r="B82" s="6" t="s">
        <v>18</v>
      </c>
      <c r="C82" s="5">
        <v>44733</v>
      </c>
      <c r="D82" s="4"/>
      <c r="E82" s="6" t="s">
        <v>80</v>
      </c>
      <c r="F82" s="4">
        <v>6.3</v>
      </c>
      <c r="G82" s="4"/>
      <c r="H82" s="6" t="s">
        <v>20</v>
      </c>
      <c r="I82" s="4">
        <v>7483</v>
      </c>
      <c r="J82" s="4">
        <v>0</v>
      </c>
      <c r="K82" s="6" t="s">
        <v>20</v>
      </c>
      <c r="L82" s="4">
        <v>75.5</v>
      </c>
      <c r="M82" s="4">
        <f>3850-650</f>
        <v>3200</v>
      </c>
      <c r="N82" s="6" t="s">
        <v>20</v>
      </c>
      <c r="O82" s="6" t="s">
        <v>20</v>
      </c>
      <c r="P82" s="4" t="str">
        <f>Table1[[#This Row],[Trap ID]]</f>
        <v>CARP2-393</v>
      </c>
      <c r="Q82" s="4"/>
    </row>
    <row r="83" spans="1:17" x14ac:dyDescent="0.2">
      <c r="A83" s="6" t="s">
        <v>17</v>
      </c>
      <c r="B83" s="6" t="s">
        <v>18</v>
      </c>
      <c r="C83" s="5">
        <v>44733</v>
      </c>
      <c r="D83" s="4"/>
      <c r="E83" s="6" t="s">
        <v>81</v>
      </c>
      <c r="F83" s="4">
        <v>8.3000000000000007</v>
      </c>
      <c r="G83" s="4"/>
      <c r="H83" s="6" t="s">
        <v>20</v>
      </c>
      <c r="I83" s="4">
        <v>7482</v>
      </c>
      <c r="J83" s="4">
        <v>0</v>
      </c>
      <c r="K83" s="6" t="s">
        <v>20</v>
      </c>
      <c r="L83" s="4">
        <v>59</v>
      </c>
      <c r="M83" s="4">
        <f>1800-650</f>
        <v>1150</v>
      </c>
      <c r="N83" s="6" t="s">
        <v>20</v>
      </c>
      <c r="O83" s="6" t="s">
        <v>20</v>
      </c>
      <c r="P83" s="4" t="str">
        <f>Table1[[#This Row],[Trap ID]]</f>
        <v>CARP2-397</v>
      </c>
      <c r="Q83" s="4"/>
    </row>
    <row r="84" spans="1:17" x14ac:dyDescent="0.2">
      <c r="A84" s="6" t="s">
        <v>17</v>
      </c>
      <c r="B84" s="6" t="s">
        <v>18</v>
      </c>
      <c r="C84" s="5">
        <v>44733</v>
      </c>
      <c r="D84" s="4"/>
      <c r="E84" s="6" t="s">
        <v>81</v>
      </c>
      <c r="F84" s="4">
        <v>8.3000000000000007</v>
      </c>
      <c r="G84" s="4"/>
      <c r="H84" s="6" t="s">
        <v>20</v>
      </c>
      <c r="I84" s="4">
        <v>7372</v>
      </c>
      <c r="J84" s="4">
        <v>100</v>
      </c>
      <c r="K84" s="6" t="s">
        <v>20</v>
      </c>
      <c r="L84" s="4">
        <v>54.5</v>
      </c>
      <c r="M84" s="4">
        <f>1750-650</f>
        <v>1100</v>
      </c>
      <c r="N84" s="6" t="s">
        <v>20</v>
      </c>
      <c r="O84" s="6" t="s">
        <v>20</v>
      </c>
      <c r="P84" s="4" t="str">
        <f>Table1[[#This Row],[Trap ID]]</f>
        <v>CARP2-397</v>
      </c>
      <c r="Q84" s="4"/>
    </row>
    <row r="85" spans="1:17" x14ac:dyDescent="0.2">
      <c r="A85" s="6" t="s">
        <v>17</v>
      </c>
      <c r="B85" s="6" t="s">
        <v>18</v>
      </c>
      <c r="C85" s="5">
        <v>44733</v>
      </c>
      <c r="D85" s="4"/>
      <c r="E85" s="6" t="s">
        <v>97</v>
      </c>
      <c r="F85" s="4">
        <v>10</v>
      </c>
      <c r="G85" s="4"/>
      <c r="H85" s="6" t="s">
        <v>20</v>
      </c>
      <c r="I85" s="4">
        <v>7375</v>
      </c>
      <c r="J85" s="4">
        <v>100</v>
      </c>
      <c r="K85" s="6" t="s">
        <v>20</v>
      </c>
      <c r="L85" s="4">
        <v>55.5</v>
      </c>
      <c r="M85" s="4">
        <f>2500-650</f>
        <v>1850</v>
      </c>
      <c r="N85" s="6" t="s">
        <v>20</v>
      </c>
      <c r="O85" s="6" t="s">
        <v>20</v>
      </c>
      <c r="P85" s="4" t="str">
        <f>Table1[[#This Row],[Trap ID]]</f>
        <v>CARP2-545</v>
      </c>
      <c r="Q85" s="4"/>
    </row>
    <row r="86" spans="1:17" x14ac:dyDescent="0.2">
      <c r="A86" s="6" t="s">
        <v>17</v>
      </c>
      <c r="B86" s="6" t="s">
        <v>18</v>
      </c>
      <c r="C86" s="5">
        <v>44733</v>
      </c>
      <c r="D86" s="4"/>
      <c r="E86" s="6" t="s">
        <v>101</v>
      </c>
      <c r="F86" s="4">
        <v>5</v>
      </c>
      <c r="G86" s="4"/>
      <c r="H86" s="6" t="s">
        <v>20</v>
      </c>
      <c r="I86" s="4">
        <v>7374</v>
      </c>
      <c r="J86" s="4">
        <v>100</v>
      </c>
      <c r="K86" s="6" t="s">
        <v>20</v>
      </c>
      <c r="L86" s="4">
        <v>55</v>
      </c>
      <c r="M86" s="4">
        <f>1800-650</f>
        <v>1150</v>
      </c>
      <c r="N86" s="6" t="s">
        <v>20</v>
      </c>
      <c r="O86" s="6" t="s">
        <v>20</v>
      </c>
      <c r="P86" s="4" t="str">
        <f>Table1[[#This Row],[Trap ID]]</f>
        <v>CARP2-592</v>
      </c>
      <c r="Q86" s="4"/>
    </row>
    <row r="87" spans="1:17" x14ac:dyDescent="0.2">
      <c r="A87" s="6" t="s">
        <v>17</v>
      </c>
      <c r="B87" s="6" t="s">
        <v>18</v>
      </c>
      <c r="C87" s="5">
        <v>44733</v>
      </c>
      <c r="D87" s="4"/>
      <c r="E87" s="6" t="s">
        <v>102</v>
      </c>
      <c r="F87" s="4">
        <v>9.3000000000000007</v>
      </c>
      <c r="G87" s="4"/>
      <c r="H87" s="6" t="s">
        <v>20</v>
      </c>
      <c r="I87" s="4">
        <v>7373</v>
      </c>
      <c r="J87" s="4">
        <v>100</v>
      </c>
      <c r="K87" s="6" t="s">
        <v>20</v>
      </c>
      <c r="L87" s="4">
        <v>75</v>
      </c>
      <c r="M87" s="4">
        <f>3900-650</f>
        <v>3250</v>
      </c>
      <c r="N87" s="6" t="s">
        <v>20</v>
      </c>
      <c r="O87" s="6" t="s">
        <v>20</v>
      </c>
      <c r="P87" s="4" t="str">
        <f>Table1[[#This Row],[Trap ID]]</f>
        <v>CARP2-594</v>
      </c>
      <c r="Q87" s="4"/>
    </row>
    <row r="88" spans="1:17" x14ac:dyDescent="0.2">
      <c r="A88" s="6" t="s">
        <v>17</v>
      </c>
      <c r="B88" s="6" t="s">
        <v>18</v>
      </c>
      <c r="C88" s="5">
        <v>44734</v>
      </c>
      <c r="D88" s="4"/>
      <c r="E88" s="6" t="s">
        <v>72</v>
      </c>
      <c r="F88" s="4">
        <v>9.9</v>
      </c>
      <c r="G88" s="4"/>
      <c r="H88" s="6" t="s">
        <v>20</v>
      </c>
      <c r="I88" s="4">
        <v>7561</v>
      </c>
      <c r="J88" s="4">
        <v>0</v>
      </c>
      <c r="K88" s="6" t="s">
        <v>20</v>
      </c>
      <c r="L88" s="4">
        <v>60.5</v>
      </c>
      <c r="M88" s="4">
        <f>1800-650</f>
        <v>1150</v>
      </c>
      <c r="N88" s="6" t="s">
        <v>20</v>
      </c>
      <c r="O88" s="6" t="s">
        <v>20</v>
      </c>
      <c r="P88" s="4" t="str">
        <f>Table1[[#This Row],[Trap ID]]</f>
        <v>CARP2-307</v>
      </c>
      <c r="Q88" s="4"/>
    </row>
    <row r="89" spans="1:17" x14ac:dyDescent="0.2">
      <c r="A89" s="6" t="s">
        <v>17</v>
      </c>
      <c r="B89" s="6" t="s">
        <v>18</v>
      </c>
      <c r="C89" s="5">
        <v>44734</v>
      </c>
      <c r="D89" s="4"/>
      <c r="E89" s="6" t="s">
        <v>85</v>
      </c>
      <c r="F89" s="4">
        <v>9.6999999999999993</v>
      </c>
      <c r="G89" s="4"/>
      <c r="H89" s="6" t="s">
        <v>20</v>
      </c>
      <c r="I89" s="4">
        <v>7380</v>
      </c>
      <c r="J89" s="4">
        <v>100</v>
      </c>
      <c r="K89" s="6" t="s">
        <v>20</v>
      </c>
      <c r="L89" s="4">
        <v>81.5</v>
      </c>
      <c r="M89" s="4">
        <f>5000-650</f>
        <v>4350</v>
      </c>
      <c r="N89" s="6" t="s">
        <v>20</v>
      </c>
      <c r="O89" s="6" t="s">
        <v>20</v>
      </c>
      <c r="P89" s="4" t="str">
        <f>Table1[[#This Row],[Trap ID]]</f>
        <v>CARP2-449</v>
      </c>
      <c r="Q89" s="4"/>
    </row>
    <row r="90" spans="1:17" x14ac:dyDescent="0.2">
      <c r="A90" s="6" t="s">
        <v>17</v>
      </c>
      <c r="B90" s="6" t="s">
        <v>18</v>
      </c>
      <c r="C90" s="5">
        <v>44734</v>
      </c>
      <c r="D90" s="4"/>
      <c r="E90" s="6" t="s">
        <v>85</v>
      </c>
      <c r="F90" s="4">
        <v>9.6999999999999993</v>
      </c>
      <c r="G90" s="4"/>
      <c r="H90" s="6" t="s">
        <v>20</v>
      </c>
      <c r="I90" s="4">
        <v>7566</v>
      </c>
      <c r="J90" s="4">
        <v>0</v>
      </c>
      <c r="K90" s="6" t="s">
        <v>20</v>
      </c>
      <c r="L90" s="4">
        <v>64</v>
      </c>
      <c r="M90" s="4">
        <f>2700-650</f>
        <v>2050</v>
      </c>
      <c r="N90" s="6" t="s">
        <v>20</v>
      </c>
      <c r="O90" s="6" t="s">
        <v>20</v>
      </c>
      <c r="P90" s="4" t="str">
        <f>Table1[[#This Row],[Trap ID]]</f>
        <v>CARP2-449</v>
      </c>
      <c r="Q90" s="4"/>
    </row>
    <row r="91" spans="1:17" x14ac:dyDescent="0.2">
      <c r="A91" s="6" t="s">
        <v>17</v>
      </c>
      <c r="B91" s="6" t="s">
        <v>18</v>
      </c>
      <c r="C91" s="5">
        <v>44734</v>
      </c>
      <c r="D91" s="4"/>
      <c r="E91" s="6" t="s">
        <v>91</v>
      </c>
      <c r="F91" s="4">
        <v>9.4</v>
      </c>
      <c r="G91" s="4"/>
      <c r="H91" s="6" t="s">
        <v>20</v>
      </c>
      <c r="I91" s="4">
        <v>7564</v>
      </c>
      <c r="J91" s="4">
        <v>0</v>
      </c>
      <c r="K91" s="6" t="s">
        <v>20</v>
      </c>
      <c r="L91" s="4">
        <v>75</v>
      </c>
      <c r="M91" s="4">
        <f>2900-650</f>
        <v>2250</v>
      </c>
      <c r="N91" s="6" t="s">
        <v>20</v>
      </c>
      <c r="O91" s="6" t="s">
        <v>20</v>
      </c>
      <c r="P91" s="4" t="str">
        <f>Table1[[#This Row],[Trap ID]]</f>
        <v>CARP2-490</v>
      </c>
      <c r="Q91" s="4"/>
    </row>
    <row r="92" spans="1:17" x14ac:dyDescent="0.2">
      <c r="A92" s="6" t="s">
        <v>17</v>
      </c>
      <c r="B92" s="6" t="s">
        <v>18</v>
      </c>
      <c r="C92" s="5">
        <v>44734</v>
      </c>
      <c r="D92" s="4"/>
      <c r="E92" s="6" t="s">
        <v>91</v>
      </c>
      <c r="F92" s="4">
        <v>9.4</v>
      </c>
      <c r="G92" s="4"/>
      <c r="H92" s="6" t="s">
        <v>20</v>
      </c>
      <c r="I92" s="4">
        <v>7379</v>
      </c>
      <c r="J92" s="4">
        <v>100</v>
      </c>
      <c r="K92" s="6" t="s">
        <v>20</v>
      </c>
      <c r="L92" s="4">
        <v>59</v>
      </c>
      <c r="M92" s="4">
        <f>2000-650</f>
        <v>1350</v>
      </c>
      <c r="N92" s="6" t="s">
        <v>20</v>
      </c>
      <c r="O92" s="6" t="s">
        <v>20</v>
      </c>
      <c r="P92" s="4" t="str">
        <f>Table1[[#This Row],[Trap ID]]</f>
        <v>CARP2-490</v>
      </c>
      <c r="Q92" s="4"/>
    </row>
    <row r="93" spans="1:17" x14ac:dyDescent="0.2">
      <c r="A93" s="6" t="s">
        <v>17</v>
      </c>
      <c r="B93" s="6" t="s">
        <v>18</v>
      </c>
      <c r="C93" s="5">
        <v>44734</v>
      </c>
      <c r="D93" s="4"/>
      <c r="E93" s="6" t="s">
        <v>91</v>
      </c>
      <c r="F93" s="4">
        <v>9.4</v>
      </c>
      <c r="G93" s="4"/>
      <c r="H93" s="6" t="s">
        <v>20</v>
      </c>
      <c r="I93" s="4">
        <v>7565</v>
      </c>
      <c r="J93" s="4">
        <v>0</v>
      </c>
      <c r="K93" s="6" t="s">
        <v>20</v>
      </c>
      <c r="L93" s="4">
        <v>52</v>
      </c>
      <c r="M93" s="4">
        <f>1350-650</f>
        <v>700</v>
      </c>
      <c r="N93" s="6" t="s">
        <v>20</v>
      </c>
      <c r="O93" s="6" t="s">
        <v>20</v>
      </c>
      <c r="P93" s="4" t="str">
        <f>Table1[[#This Row],[Trap ID]]</f>
        <v>CARP2-490</v>
      </c>
      <c r="Q93" s="4"/>
    </row>
    <row r="94" spans="1:17" x14ac:dyDescent="0.2">
      <c r="A94" s="6" t="s">
        <v>17</v>
      </c>
      <c r="B94" s="6" t="s">
        <v>18</v>
      </c>
      <c r="C94" s="5">
        <v>44734</v>
      </c>
      <c r="D94" s="4"/>
      <c r="E94" s="6" t="s">
        <v>92</v>
      </c>
      <c r="F94" s="4">
        <v>10</v>
      </c>
      <c r="G94" s="4"/>
      <c r="H94" s="6" t="s">
        <v>20</v>
      </c>
      <c r="I94" s="4">
        <v>7562</v>
      </c>
      <c r="J94" s="4">
        <v>0</v>
      </c>
      <c r="K94" s="6" t="s">
        <v>20</v>
      </c>
      <c r="L94" s="4">
        <v>61.5</v>
      </c>
      <c r="M94" s="6">
        <f>2050-650</f>
        <v>1400</v>
      </c>
      <c r="N94" s="6" t="s">
        <v>20</v>
      </c>
      <c r="O94" s="6" t="s">
        <v>20</v>
      </c>
      <c r="P94" s="4" t="str">
        <f>Table1[[#This Row],[Trap ID]]</f>
        <v>CARP2-495</v>
      </c>
      <c r="Q94" s="4"/>
    </row>
    <row r="95" spans="1:17" x14ac:dyDescent="0.2">
      <c r="A95" s="6" t="s">
        <v>17</v>
      </c>
      <c r="B95" s="6" t="s">
        <v>18</v>
      </c>
      <c r="C95" s="5">
        <v>44734</v>
      </c>
      <c r="D95" s="4"/>
      <c r="E95" s="6" t="s">
        <v>92</v>
      </c>
      <c r="F95" s="4">
        <v>10</v>
      </c>
      <c r="G95" s="4"/>
      <c r="H95" s="6" t="s">
        <v>20</v>
      </c>
      <c r="I95" s="4">
        <v>7378</v>
      </c>
      <c r="J95" s="4">
        <v>100</v>
      </c>
      <c r="K95" s="6" t="s">
        <v>20</v>
      </c>
      <c r="L95" s="4">
        <v>50</v>
      </c>
      <c r="M95" s="4">
        <f>1500-650</f>
        <v>850</v>
      </c>
      <c r="N95" s="6" t="s">
        <v>20</v>
      </c>
      <c r="O95" s="6" t="s">
        <v>20</v>
      </c>
      <c r="P95" s="4" t="str">
        <f>Table1[[#This Row],[Trap ID]]</f>
        <v>CARP2-495</v>
      </c>
      <c r="Q95" s="4"/>
    </row>
    <row r="96" spans="1:17" x14ac:dyDescent="0.2">
      <c r="A96" s="6" t="s">
        <v>17</v>
      </c>
      <c r="B96" s="6" t="s">
        <v>18</v>
      </c>
      <c r="C96" s="5">
        <v>44734</v>
      </c>
      <c r="D96" s="4"/>
      <c r="E96" s="4" t="s">
        <v>93</v>
      </c>
      <c r="F96" s="4">
        <v>6</v>
      </c>
      <c r="G96" s="4"/>
      <c r="H96" s="6" t="s">
        <v>20</v>
      </c>
      <c r="I96" s="4">
        <v>7381</v>
      </c>
      <c r="J96" s="4">
        <v>100</v>
      </c>
      <c r="K96" s="6" t="s">
        <v>20</v>
      </c>
      <c r="L96" s="4">
        <v>64.5</v>
      </c>
      <c r="M96" s="4">
        <f>2300-650</f>
        <v>1650</v>
      </c>
      <c r="N96" s="6" t="s">
        <v>20</v>
      </c>
      <c r="O96" s="6" t="s">
        <v>20</v>
      </c>
      <c r="P96" s="4" t="str">
        <f>Table1[[#This Row],[Trap ID]]</f>
        <v>CARP2-5</v>
      </c>
      <c r="Q96" s="4"/>
    </row>
    <row r="97" spans="1:17" x14ac:dyDescent="0.2">
      <c r="A97" s="6" t="s">
        <v>17</v>
      </c>
      <c r="B97" s="6" t="s">
        <v>18</v>
      </c>
      <c r="C97" s="5">
        <v>44734</v>
      </c>
      <c r="D97" s="4"/>
      <c r="E97" s="6" t="s">
        <v>94</v>
      </c>
      <c r="F97" s="4">
        <v>7</v>
      </c>
      <c r="G97" s="4"/>
      <c r="H97" s="6" t="s">
        <v>20</v>
      </c>
      <c r="I97" s="4">
        <v>7377</v>
      </c>
      <c r="J97" s="4">
        <v>100</v>
      </c>
      <c r="K97" s="6" t="s">
        <v>20</v>
      </c>
      <c r="L97" s="4">
        <v>65</v>
      </c>
      <c r="M97" s="4">
        <f>2200-650</f>
        <v>1550</v>
      </c>
      <c r="N97" s="6" t="s">
        <v>20</v>
      </c>
      <c r="O97" s="6" t="s">
        <v>20</v>
      </c>
      <c r="P97" s="4" t="str">
        <f>Table1[[#This Row],[Trap ID]]</f>
        <v>CARP2-532</v>
      </c>
      <c r="Q97" s="4"/>
    </row>
    <row r="98" spans="1:17" x14ac:dyDescent="0.2">
      <c r="A98" s="6" t="s">
        <v>17</v>
      </c>
      <c r="B98" s="6" t="s">
        <v>18</v>
      </c>
      <c r="C98" s="5">
        <v>44734</v>
      </c>
      <c r="D98" s="4"/>
      <c r="E98" s="4" t="s">
        <v>95</v>
      </c>
      <c r="F98" s="4">
        <v>8.3000000000000007</v>
      </c>
      <c r="G98" s="4"/>
      <c r="H98" s="6" t="s">
        <v>20</v>
      </c>
      <c r="I98" s="4">
        <v>7567</v>
      </c>
      <c r="J98" s="4">
        <v>0</v>
      </c>
      <c r="K98" s="6" t="s">
        <v>20</v>
      </c>
      <c r="L98" s="4">
        <v>65</v>
      </c>
      <c r="M98" s="4">
        <f>2600-650</f>
        <v>1950</v>
      </c>
      <c r="N98" s="6" t="s">
        <v>20</v>
      </c>
      <c r="O98" s="6" t="s">
        <v>20</v>
      </c>
      <c r="P98" s="4" t="str">
        <f>Table1[[#This Row],[Trap ID]]</f>
        <v>CARP2-536</v>
      </c>
      <c r="Q98" s="6" t="s">
        <v>96</v>
      </c>
    </row>
    <row r="99" spans="1:17" x14ac:dyDescent="0.2">
      <c r="A99" s="4" t="s">
        <v>17</v>
      </c>
      <c r="B99" s="4" t="s">
        <v>18</v>
      </c>
      <c r="C99" s="5">
        <v>44734</v>
      </c>
      <c r="D99" s="4"/>
      <c r="E99" s="4" t="s">
        <v>104</v>
      </c>
      <c r="F99" s="4">
        <v>9.8000000000000007</v>
      </c>
      <c r="G99" s="4"/>
      <c r="H99" s="4" t="s">
        <v>20</v>
      </c>
      <c r="I99" s="4">
        <v>7383</v>
      </c>
      <c r="J99" s="4">
        <v>100</v>
      </c>
      <c r="K99" s="4" t="s">
        <v>20</v>
      </c>
      <c r="L99" s="4">
        <v>72</v>
      </c>
      <c r="M99" s="4">
        <f>3200-650</f>
        <v>2550</v>
      </c>
      <c r="N99" s="4" t="s">
        <v>20</v>
      </c>
      <c r="O99" s="4" t="s">
        <v>20</v>
      </c>
      <c r="P99" s="4" t="str">
        <f>Table1[[#This Row],[Trap ID]]</f>
        <v>CARP2-634</v>
      </c>
      <c r="Q99" s="4"/>
    </row>
    <row r="100" spans="1:17" x14ac:dyDescent="0.2">
      <c r="A100" s="4" t="s">
        <v>17</v>
      </c>
      <c r="B100" s="4" t="s">
        <v>18</v>
      </c>
      <c r="C100" s="5">
        <v>44734</v>
      </c>
      <c r="D100" s="4"/>
      <c r="E100" s="4" t="s">
        <v>105</v>
      </c>
      <c r="F100" s="4">
        <v>9.4</v>
      </c>
      <c r="G100" s="4"/>
      <c r="H100" s="4" t="s">
        <v>20</v>
      </c>
      <c r="I100" s="4">
        <v>7570</v>
      </c>
      <c r="J100" s="4">
        <v>0</v>
      </c>
      <c r="K100" s="4" t="s">
        <v>20</v>
      </c>
      <c r="L100" s="4">
        <v>60</v>
      </c>
      <c r="M100" s="4">
        <f>1700-650</f>
        <v>1050</v>
      </c>
      <c r="N100" s="4" t="s">
        <v>20</v>
      </c>
      <c r="O100" s="4" t="s">
        <v>20</v>
      </c>
      <c r="P100" s="4" t="str">
        <f>Table1[[#This Row],[Trap ID]]</f>
        <v>CARP2-72</v>
      </c>
      <c r="Q100" s="4"/>
    </row>
    <row r="101" spans="1:17" x14ac:dyDescent="0.2">
      <c r="A101" s="6" t="s">
        <v>17</v>
      </c>
      <c r="B101" s="6" t="s">
        <v>18</v>
      </c>
      <c r="C101" s="5">
        <v>44734</v>
      </c>
      <c r="D101" s="4"/>
      <c r="E101" s="4" t="s">
        <v>106</v>
      </c>
      <c r="F101" s="4">
        <v>5</v>
      </c>
      <c r="G101" s="4"/>
      <c r="H101" s="6" t="s">
        <v>20</v>
      </c>
      <c r="I101" s="4">
        <v>7568</v>
      </c>
      <c r="J101" s="4">
        <v>0</v>
      </c>
      <c r="K101" s="6" t="s">
        <v>20</v>
      </c>
      <c r="L101" s="4">
        <v>68.5</v>
      </c>
      <c r="M101" s="4">
        <f>2500-650</f>
        <v>1850</v>
      </c>
      <c r="N101" s="6" t="s">
        <v>20</v>
      </c>
      <c r="O101" s="6" t="s">
        <v>20</v>
      </c>
      <c r="P101" s="4" t="str">
        <f>Table1[[#This Row],[Trap ID]]</f>
        <v>CARP2-86</v>
      </c>
      <c r="Q101" s="4"/>
    </row>
    <row r="102" spans="1:17" x14ac:dyDescent="0.2">
      <c r="A102" s="6" t="s">
        <v>17</v>
      </c>
      <c r="B102" s="6" t="s">
        <v>18</v>
      </c>
      <c r="C102" s="5">
        <v>44734</v>
      </c>
      <c r="D102" s="4"/>
      <c r="E102" s="4" t="s">
        <v>106</v>
      </c>
      <c r="F102" s="4">
        <v>5</v>
      </c>
      <c r="G102" s="4"/>
      <c r="H102" s="6" t="s">
        <v>20</v>
      </c>
      <c r="I102" s="4">
        <v>7382</v>
      </c>
      <c r="J102" s="4">
        <v>100</v>
      </c>
      <c r="K102" s="6" t="s">
        <v>20</v>
      </c>
      <c r="L102" s="4">
        <v>59</v>
      </c>
      <c r="M102" s="4">
        <f>2150-650</f>
        <v>1500</v>
      </c>
      <c r="N102" s="6" t="s">
        <v>20</v>
      </c>
      <c r="O102" s="6" t="s">
        <v>20</v>
      </c>
      <c r="P102" s="4" t="str">
        <f>Table1[[#This Row],[Trap ID]]</f>
        <v>CARP2-86</v>
      </c>
      <c r="Q102" s="4"/>
    </row>
    <row r="103" spans="1:17" x14ac:dyDescent="0.2">
      <c r="A103" s="6" t="s">
        <v>17</v>
      </c>
      <c r="B103" s="6" t="s">
        <v>18</v>
      </c>
      <c r="C103" s="5">
        <v>44734</v>
      </c>
      <c r="D103" s="4"/>
      <c r="E103" s="4" t="s">
        <v>106</v>
      </c>
      <c r="F103" s="4">
        <v>5</v>
      </c>
      <c r="G103" s="4"/>
      <c r="H103" s="6" t="s">
        <v>20</v>
      </c>
      <c r="I103" s="4">
        <v>7569</v>
      </c>
      <c r="J103" s="4">
        <v>0</v>
      </c>
      <c r="K103" s="6" t="s">
        <v>20</v>
      </c>
      <c r="L103" s="4">
        <v>61.5</v>
      </c>
      <c r="M103" s="4">
        <f>2100-650</f>
        <v>1450</v>
      </c>
      <c r="N103" s="6" t="s">
        <v>20</v>
      </c>
      <c r="O103" s="6" t="s">
        <v>20</v>
      </c>
      <c r="P103" s="4" t="str">
        <f>Table1[[#This Row],[Trap ID]]</f>
        <v>CARP2-86</v>
      </c>
      <c r="Q103" s="4"/>
    </row>
    <row r="104" spans="1:17" x14ac:dyDescent="0.2">
      <c r="A104" s="4" t="s">
        <v>17</v>
      </c>
      <c r="B104" s="4" t="s">
        <v>18</v>
      </c>
      <c r="C104" s="5">
        <v>44735</v>
      </c>
      <c r="D104" s="4"/>
      <c r="E104" s="6" t="s">
        <v>64</v>
      </c>
      <c r="F104" s="4">
        <v>10.1</v>
      </c>
      <c r="G104" s="4"/>
      <c r="H104" s="4" t="s">
        <v>20</v>
      </c>
      <c r="I104" s="4">
        <v>7571</v>
      </c>
      <c r="J104" s="4">
        <v>0</v>
      </c>
      <c r="K104" s="4" t="s">
        <v>20</v>
      </c>
      <c r="L104" s="4">
        <v>67.5</v>
      </c>
      <c r="M104" s="4">
        <f>2350-650</f>
        <v>1700</v>
      </c>
      <c r="N104" s="4" t="s">
        <v>20</v>
      </c>
      <c r="O104" s="4" t="s">
        <v>20</v>
      </c>
      <c r="P104" s="4" t="str">
        <f>Table1[[#This Row],[Trap ID]]</f>
        <v>CARP2-145</v>
      </c>
      <c r="Q104" s="4"/>
    </row>
    <row r="105" spans="1:17" x14ac:dyDescent="0.2">
      <c r="A105" s="4" t="s">
        <v>17</v>
      </c>
      <c r="B105" s="4" t="s">
        <v>18</v>
      </c>
      <c r="C105" s="5">
        <v>44735</v>
      </c>
      <c r="D105" s="4"/>
      <c r="E105" s="6" t="s">
        <v>64</v>
      </c>
      <c r="F105" s="4">
        <v>10.1</v>
      </c>
      <c r="G105" s="4"/>
      <c r="H105" s="4" t="s">
        <v>20</v>
      </c>
      <c r="I105" s="4">
        <v>7385</v>
      </c>
      <c r="J105" s="4">
        <v>100</v>
      </c>
      <c r="K105" s="4" t="s">
        <v>20</v>
      </c>
      <c r="L105" s="4">
        <v>49</v>
      </c>
      <c r="M105" s="4">
        <f>1700-650</f>
        <v>1050</v>
      </c>
      <c r="N105" s="4" t="s">
        <v>20</v>
      </c>
      <c r="O105" s="4" t="s">
        <v>20</v>
      </c>
      <c r="P105" s="4" t="str">
        <f>Table1[[#This Row],[Trap ID]]</f>
        <v>CARP2-145</v>
      </c>
      <c r="Q105" s="6" t="s">
        <v>65</v>
      </c>
    </row>
    <row r="106" spans="1:17" x14ac:dyDescent="0.2">
      <c r="A106" s="4" t="s">
        <v>17</v>
      </c>
      <c r="B106" s="4" t="s">
        <v>18</v>
      </c>
      <c r="C106" s="5">
        <v>44735</v>
      </c>
      <c r="D106" s="4"/>
      <c r="E106" s="6" t="s">
        <v>67</v>
      </c>
      <c r="F106" s="4">
        <v>10.199999999999999</v>
      </c>
      <c r="G106" s="4"/>
      <c r="H106" s="4" t="s">
        <v>20</v>
      </c>
      <c r="I106" s="4">
        <v>7387</v>
      </c>
      <c r="J106" s="4">
        <v>100</v>
      </c>
      <c r="K106" s="4" t="s">
        <v>20</v>
      </c>
      <c r="L106" s="4">
        <v>64</v>
      </c>
      <c r="M106" s="4">
        <f>2000-650</f>
        <v>1350</v>
      </c>
      <c r="N106" s="4" t="s">
        <v>20</v>
      </c>
      <c r="O106" s="4" t="s">
        <v>20</v>
      </c>
      <c r="P106" s="4" t="str">
        <f>Table1[[#This Row],[Trap ID]]</f>
        <v>CARP2-201</v>
      </c>
      <c r="Q106" s="4"/>
    </row>
    <row r="107" spans="1:17" x14ac:dyDescent="0.2">
      <c r="A107" s="4" t="s">
        <v>17</v>
      </c>
      <c r="B107" s="4" t="s">
        <v>18</v>
      </c>
      <c r="C107" s="5">
        <v>44735</v>
      </c>
      <c r="D107" s="4"/>
      <c r="E107" s="6" t="s">
        <v>67</v>
      </c>
      <c r="F107" s="4">
        <v>10.199999999999999</v>
      </c>
      <c r="G107" s="4"/>
      <c r="H107" s="4" t="s">
        <v>20</v>
      </c>
      <c r="I107" s="4">
        <v>7576</v>
      </c>
      <c r="J107" s="4">
        <v>0</v>
      </c>
      <c r="K107" s="4" t="s">
        <v>20</v>
      </c>
      <c r="L107" s="4">
        <v>61</v>
      </c>
      <c r="M107" s="4">
        <f>2000-650</f>
        <v>1350</v>
      </c>
      <c r="N107" s="4" t="s">
        <v>20</v>
      </c>
      <c r="O107" s="4" t="s">
        <v>20</v>
      </c>
      <c r="P107" s="4" t="str">
        <f>Table1[[#This Row],[Trap ID]]</f>
        <v>CARP2-201</v>
      </c>
      <c r="Q107" s="4"/>
    </row>
    <row r="108" spans="1:17" x14ac:dyDescent="0.2">
      <c r="A108" s="4" t="s">
        <v>17</v>
      </c>
      <c r="B108" s="4" t="s">
        <v>18</v>
      </c>
      <c r="C108" s="5">
        <v>44735</v>
      </c>
      <c r="D108" s="4"/>
      <c r="E108" s="6" t="s">
        <v>69</v>
      </c>
      <c r="F108" s="4">
        <v>9.5</v>
      </c>
      <c r="G108" s="4"/>
      <c r="H108" s="4" t="s">
        <v>20</v>
      </c>
      <c r="I108" s="4">
        <v>7580</v>
      </c>
      <c r="J108" s="4">
        <v>0</v>
      </c>
      <c r="K108" s="4" t="s">
        <v>20</v>
      </c>
      <c r="L108" s="4">
        <v>81</v>
      </c>
      <c r="M108" s="4">
        <f>4000-650</f>
        <v>3350</v>
      </c>
      <c r="N108" s="4" t="s">
        <v>20</v>
      </c>
      <c r="O108" s="4" t="s">
        <v>20</v>
      </c>
      <c r="P108" s="4" t="str">
        <f>Table1[[#This Row],[Trap ID]]</f>
        <v>CARP2-247</v>
      </c>
      <c r="Q108" s="4"/>
    </row>
    <row r="109" spans="1:17" x14ac:dyDescent="0.2">
      <c r="A109" s="4" t="s">
        <v>17</v>
      </c>
      <c r="B109" s="4" t="s">
        <v>18</v>
      </c>
      <c r="C109" s="5">
        <v>44735</v>
      </c>
      <c r="D109" s="4"/>
      <c r="E109" s="6" t="s">
        <v>69</v>
      </c>
      <c r="F109" s="4">
        <v>9.5</v>
      </c>
      <c r="G109" s="4"/>
      <c r="H109" s="4" t="s">
        <v>20</v>
      </c>
      <c r="I109" s="4">
        <v>7391</v>
      </c>
      <c r="J109" s="4">
        <v>100</v>
      </c>
      <c r="K109" s="4" t="s">
        <v>20</v>
      </c>
      <c r="L109" s="4">
        <v>57.5</v>
      </c>
      <c r="M109" s="4">
        <f>2050-650</f>
        <v>1400</v>
      </c>
      <c r="N109" s="4" t="s">
        <v>20</v>
      </c>
      <c r="O109" s="4" t="s">
        <v>20</v>
      </c>
      <c r="P109" s="4" t="str">
        <f>Table1[[#This Row],[Trap ID]]</f>
        <v>CARP2-247</v>
      </c>
      <c r="Q109" s="4"/>
    </row>
    <row r="110" spans="1:17" x14ac:dyDescent="0.2">
      <c r="A110" s="4" t="s">
        <v>17</v>
      </c>
      <c r="B110" s="4" t="s">
        <v>18</v>
      </c>
      <c r="C110" s="5">
        <v>44735</v>
      </c>
      <c r="D110" s="4"/>
      <c r="E110" s="6" t="s">
        <v>71</v>
      </c>
      <c r="F110" s="4">
        <v>8.5</v>
      </c>
      <c r="G110" s="4"/>
      <c r="H110" s="4" t="s">
        <v>20</v>
      </c>
      <c r="I110" s="4">
        <v>7577</v>
      </c>
      <c r="J110" s="4">
        <v>0</v>
      </c>
      <c r="K110" s="4" t="s">
        <v>20</v>
      </c>
      <c r="L110" s="4">
        <v>51.5</v>
      </c>
      <c r="M110" s="4">
        <f>1550-650</f>
        <v>900</v>
      </c>
      <c r="N110" s="4" t="s">
        <v>20</v>
      </c>
      <c r="O110" s="4" t="s">
        <v>20</v>
      </c>
      <c r="P110" s="4" t="str">
        <f>Table1[[#This Row],[Trap ID]]</f>
        <v>CARP2-273</v>
      </c>
      <c r="Q110" s="4"/>
    </row>
    <row r="111" spans="1:17" x14ac:dyDescent="0.2">
      <c r="A111" s="4" t="s">
        <v>17</v>
      </c>
      <c r="B111" s="4" t="s">
        <v>18</v>
      </c>
      <c r="C111" s="5">
        <v>44735</v>
      </c>
      <c r="D111" s="4"/>
      <c r="E111" s="6" t="s">
        <v>75</v>
      </c>
      <c r="F111" s="4">
        <v>10.199999999999999</v>
      </c>
      <c r="G111" s="4"/>
      <c r="H111" s="4" t="s">
        <v>20</v>
      </c>
      <c r="I111" s="4">
        <v>7572</v>
      </c>
      <c r="J111" s="4">
        <v>0</v>
      </c>
      <c r="K111" s="4" t="s">
        <v>20</v>
      </c>
      <c r="L111" s="4">
        <v>58.5</v>
      </c>
      <c r="M111" s="4">
        <f>2300-650</f>
        <v>1650</v>
      </c>
      <c r="N111" s="4" t="s">
        <v>20</v>
      </c>
      <c r="O111" s="4" t="s">
        <v>20</v>
      </c>
      <c r="P111" s="4" t="str">
        <f>Table1[[#This Row],[Trap ID]]</f>
        <v>CARP2-361</v>
      </c>
      <c r="Q111" s="4"/>
    </row>
    <row r="112" spans="1:17" x14ac:dyDescent="0.2">
      <c r="A112" s="4" t="s">
        <v>17</v>
      </c>
      <c r="B112" s="4" t="s">
        <v>18</v>
      </c>
      <c r="C112" s="5">
        <v>44735</v>
      </c>
      <c r="D112" s="4"/>
      <c r="E112" s="6" t="s">
        <v>76</v>
      </c>
      <c r="F112" s="4">
        <v>9.8000000000000007</v>
      </c>
      <c r="G112" s="4"/>
      <c r="H112" s="4" t="s">
        <v>20</v>
      </c>
      <c r="I112" s="6" t="s">
        <v>20</v>
      </c>
      <c r="J112" s="6" t="s">
        <v>20</v>
      </c>
      <c r="K112" s="4" t="s">
        <v>20</v>
      </c>
      <c r="L112" s="4">
        <v>6.5</v>
      </c>
      <c r="M112" s="6" t="s">
        <v>20</v>
      </c>
      <c r="N112" s="4" t="s">
        <v>20</v>
      </c>
      <c r="O112" s="4" t="s">
        <v>20</v>
      </c>
      <c r="P112" s="4" t="str">
        <f>Table1[[#This Row],[Trap ID]]</f>
        <v>CARP2-369</v>
      </c>
      <c r="Q112" s="4"/>
    </row>
    <row r="113" spans="1:17" x14ac:dyDescent="0.2">
      <c r="A113" s="4" t="s">
        <v>17</v>
      </c>
      <c r="B113" s="4" t="s">
        <v>18</v>
      </c>
      <c r="C113" s="5">
        <v>44735</v>
      </c>
      <c r="D113" s="4"/>
      <c r="E113" s="6" t="s">
        <v>77</v>
      </c>
      <c r="F113" s="4">
        <v>9.5</v>
      </c>
      <c r="G113" s="4"/>
      <c r="H113" s="4" t="s">
        <v>20</v>
      </c>
      <c r="I113" s="4">
        <v>7578</v>
      </c>
      <c r="J113" s="4">
        <v>0</v>
      </c>
      <c r="K113" s="4" t="s">
        <v>20</v>
      </c>
      <c r="L113" s="4">
        <v>59.5</v>
      </c>
      <c r="M113" s="4">
        <f>2000-650</f>
        <v>1350</v>
      </c>
      <c r="N113" s="4" t="s">
        <v>20</v>
      </c>
      <c r="O113" s="4" t="s">
        <v>20</v>
      </c>
      <c r="P113" s="4" t="str">
        <f>Table1[[#This Row],[Trap ID]]</f>
        <v>CARP2-370</v>
      </c>
      <c r="Q113" s="4"/>
    </row>
    <row r="114" spans="1:17" x14ac:dyDescent="0.2">
      <c r="A114" s="4" t="s">
        <v>17</v>
      </c>
      <c r="B114" s="4" t="s">
        <v>18</v>
      </c>
      <c r="C114" s="5">
        <v>44735</v>
      </c>
      <c r="D114" s="4"/>
      <c r="E114" s="6" t="s">
        <v>79</v>
      </c>
      <c r="F114" s="4">
        <v>9.6999999999999993</v>
      </c>
      <c r="G114" s="4"/>
      <c r="H114" s="4" t="s">
        <v>20</v>
      </c>
      <c r="I114" s="4">
        <v>7390</v>
      </c>
      <c r="J114" s="4">
        <v>100</v>
      </c>
      <c r="K114" s="4" t="s">
        <v>20</v>
      </c>
      <c r="L114" s="4">
        <v>58</v>
      </c>
      <c r="M114" s="4">
        <f>1900-650</f>
        <v>1250</v>
      </c>
      <c r="N114" s="4" t="s">
        <v>20</v>
      </c>
      <c r="O114" s="4" t="s">
        <v>20</v>
      </c>
      <c r="P114" s="4" t="str">
        <f>Table1[[#This Row],[Trap ID]]</f>
        <v>CARP2-389</v>
      </c>
      <c r="Q114" s="4"/>
    </row>
    <row r="115" spans="1:17" x14ac:dyDescent="0.2">
      <c r="A115" s="4" t="s">
        <v>17</v>
      </c>
      <c r="B115" s="4" t="s">
        <v>18</v>
      </c>
      <c r="C115" s="5">
        <v>44735</v>
      </c>
      <c r="D115" s="4"/>
      <c r="E115" s="6" t="s">
        <v>83</v>
      </c>
      <c r="F115" s="4">
        <v>9.9</v>
      </c>
      <c r="G115" s="4"/>
      <c r="H115" s="4" t="s">
        <v>20</v>
      </c>
      <c r="I115" s="4">
        <v>7388</v>
      </c>
      <c r="J115" s="4">
        <v>100</v>
      </c>
      <c r="K115" s="4" t="s">
        <v>20</v>
      </c>
      <c r="L115" s="4">
        <v>66.5</v>
      </c>
      <c r="M115" s="4">
        <f>2950-650</f>
        <v>2300</v>
      </c>
      <c r="N115" s="4" t="s">
        <v>20</v>
      </c>
      <c r="O115" s="4" t="s">
        <v>20</v>
      </c>
      <c r="P115" s="4" t="str">
        <f>Table1[[#This Row],[Trap ID]]</f>
        <v>CARP2-438</v>
      </c>
      <c r="Q115" s="4"/>
    </row>
    <row r="116" spans="1:17" x14ac:dyDescent="0.2">
      <c r="A116" s="4" t="s">
        <v>17</v>
      </c>
      <c r="B116" s="4" t="s">
        <v>18</v>
      </c>
      <c r="C116" s="5">
        <v>44735</v>
      </c>
      <c r="D116" s="4"/>
      <c r="E116" s="6" t="s">
        <v>84</v>
      </c>
      <c r="F116" s="4">
        <v>9.6999999999999993</v>
      </c>
      <c r="G116" s="4"/>
      <c r="H116" s="4" t="s">
        <v>20</v>
      </c>
      <c r="I116" s="4">
        <v>7386</v>
      </c>
      <c r="J116" s="4">
        <v>100</v>
      </c>
      <c r="K116" s="4" t="s">
        <v>20</v>
      </c>
      <c r="L116" s="4">
        <v>63.5</v>
      </c>
      <c r="M116" s="4">
        <f>2450-650</f>
        <v>1800</v>
      </c>
      <c r="N116" s="4" t="s">
        <v>20</v>
      </c>
      <c r="O116" s="4" t="s">
        <v>20</v>
      </c>
      <c r="P116" s="4" t="str">
        <f>Table1[[#This Row],[Trap ID]]</f>
        <v>CARP2-448</v>
      </c>
      <c r="Q116" s="4"/>
    </row>
    <row r="117" spans="1:17" x14ac:dyDescent="0.2">
      <c r="A117" s="4" t="s">
        <v>17</v>
      </c>
      <c r="B117" s="4" t="s">
        <v>18</v>
      </c>
      <c r="C117" s="5">
        <v>44735</v>
      </c>
      <c r="D117" s="4"/>
      <c r="E117" s="6" t="s">
        <v>84</v>
      </c>
      <c r="F117" s="4">
        <v>9.6999999999999993</v>
      </c>
      <c r="G117" s="4"/>
      <c r="H117" s="4" t="s">
        <v>20</v>
      </c>
      <c r="I117" s="4">
        <v>7575</v>
      </c>
      <c r="J117" s="4">
        <v>0</v>
      </c>
      <c r="K117" s="4" t="s">
        <v>20</v>
      </c>
      <c r="L117" s="4">
        <v>58.5</v>
      </c>
      <c r="M117" s="4">
        <f>2050-650</f>
        <v>1400</v>
      </c>
      <c r="N117" s="4" t="s">
        <v>20</v>
      </c>
      <c r="O117" s="4" t="s">
        <v>20</v>
      </c>
      <c r="P117" s="4" t="str">
        <f>Table1[[#This Row],[Trap ID]]</f>
        <v>CARP2-448</v>
      </c>
      <c r="Q117" s="4"/>
    </row>
    <row r="118" spans="1:17" x14ac:dyDescent="0.2">
      <c r="A118" s="4" t="s">
        <v>17</v>
      </c>
      <c r="B118" s="4" t="s">
        <v>18</v>
      </c>
      <c r="C118" s="5">
        <v>44735</v>
      </c>
      <c r="D118" s="4"/>
      <c r="E118" s="6" t="s">
        <v>86</v>
      </c>
      <c r="F118" s="4">
        <v>9.6</v>
      </c>
      <c r="G118" s="4"/>
      <c r="H118" s="4" t="s">
        <v>20</v>
      </c>
      <c r="I118" s="4">
        <v>7389</v>
      </c>
      <c r="J118" s="4">
        <v>100</v>
      </c>
      <c r="K118" s="4" t="s">
        <v>20</v>
      </c>
      <c r="L118" s="4">
        <v>62</v>
      </c>
      <c r="M118" s="4">
        <f>2050-650</f>
        <v>1400</v>
      </c>
      <c r="N118" s="4" t="s">
        <v>20</v>
      </c>
      <c r="O118" s="4" t="s">
        <v>20</v>
      </c>
      <c r="P118" s="4" t="str">
        <f>Table1[[#This Row],[Trap ID]]</f>
        <v>CARP2-453</v>
      </c>
      <c r="Q118" s="4"/>
    </row>
    <row r="119" spans="1:17" x14ac:dyDescent="0.2">
      <c r="A119" s="4" t="s">
        <v>17</v>
      </c>
      <c r="B119" s="4" t="s">
        <v>18</v>
      </c>
      <c r="C119" s="5">
        <v>44735</v>
      </c>
      <c r="D119" s="4"/>
      <c r="E119" s="6" t="s">
        <v>87</v>
      </c>
      <c r="F119" s="4">
        <v>10</v>
      </c>
      <c r="G119" s="4"/>
      <c r="H119" s="4" t="s">
        <v>20</v>
      </c>
      <c r="I119" s="4">
        <v>7581</v>
      </c>
      <c r="J119" s="4">
        <v>0</v>
      </c>
      <c r="K119" s="4" t="s">
        <v>20</v>
      </c>
      <c r="L119" s="4">
        <v>73.5</v>
      </c>
      <c r="M119" s="4">
        <f>4000-650</f>
        <v>3350</v>
      </c>
      <c r="N119" s="4" t="s">
        <v>20</v>
      </c>
      <c r="O119" s="4" t="s">
        <v>20</v>
      </c>
      <c r="P119" s="4" t="str">
        <f>Table1[[#This Row],[Trap ID]]</f>
        <v>CARP2-458</v>
      </c>
      <c r="Q119" s="4"/>
    </row>
    <row r="120" spans="1:17" x14ac:dyDescent="0.2">
      <c r="A120" s="4" t="s">
        <v>17</v>
      </c>
      <c r="B120" s="4" t="s">
        <v>18</v>
      </c>
      <c r="C120" s="5">
        <v>44735</v>
      </c>
      <c r="D120" s="4"/>
      <c r="E120" s="6" t="s">
        <v>87</v>
      </c>
      <c r="F120" s="4">
        <v>10</v>
      </c>
      <c r="G120" s="4"/>
      <c r="H120" s="4" t="s">
        <v>20</v>
      </c>
      <c r="I120" s="4">
        <v>7392</v>
      </c>
      <c r="J120" s="4">
        <v>100</v>
      </c>
      <c r="K120" s="4" t="s">
        <v>20</v>
      </c>
      <c r="L120" s="4">
        <v>66</v>
      </c>
      <c r="M120" s="6" t="s">
        <v>20</v>
      </c>
      <c r="N120" s="4" t="s">
        <v>20</v>
      </c>
      <c r="O120" s="4" t="s">
        <v>20</v>
      </c>
      <c r="P120" s="4" t="str">
        <f>Table1[[#This Row],[Trap ID]]</f>
        <v>CARP2-458</v>
      </c>
      <c r="Q120" s="6" t="s">
        <v>88</v>
      </c>
    </row>
    <row r="121" spans="1:17" x14ac:dyDescent="0.2">
      <c r="A121" s="4" t="s">
        <v>17</v>
      </c>
      <c r="B121" s="4" t="s">
        <v>18</v>
      </c>
      <c r="C121" s="5">
        <v>44735</v>
      </c>
      <c r="D121" s="4"/>
      <c r="E121" s="6" t="s">
        <v>87</v>
      </c>
      <c r="F121" s="4">
        <v>10</v>
      </c>
      <c r="G121" s="4"/>
      <c r="H121" s="4" t="s">
        <v>20</v>
      </c>
      <c r="I121" s="4">
        <v>7582</v>
      </c>
      <c r="J121" s="4">
        <v>0</v>
      </c>
      <c r="K121" s="4" t="s">
        <v>20</v>
      </c>
      <c r="L121" s="4">
        <v>56</v>
      </c>
      <c r="M121" s="4">
        <f>1700-650</f>
        <v>1050</v>
      </c>
      <c r="N121" s="4" t="s">
        <v>20</v>
      </c>
      <c r="O121" s="4" t="s">
        <v>20</v>
      </c>
      <c r="P121" s="4" t="str">
        <f>Table1[[#This Row],[Trap ID]]</f>
        <v>CARP2-458</v>
      </c>
      <c r="Q121" s="4"/>
    </row>
    <row r="122" spans="1:17" x14ac:dyDescent="0.2">
      <c r="A122" s="4" t="s">
        <v>17</v>
      </c>
      <c r="B122" s="4" t="s">
        <v>18</v>
      </c>
      <c r="C122" s="5">
        <v>44735</v>
      </c>
      <c r="D122" s="4"/>
      <c r="E122" s="6" t="s">
        <v>89</v>
      </c>
      <c r="F122" s="4">
        <v>9.6999999999999993</v>
      </c>
      <c r="G122" s="4"/>
      <c r="H122" s="4" t="s">
        <v>20</v>
      </c>
      <c r="I122" s="4">
        <v>7393</v>
      </c>
      <c r="J122" s="4">
        <v>100</v>
      </c>
      <c r="K122" s="4" t="s">
        <v>20</v>
      </c>
      <c r="L122" s="4">
        <v>57</v>
      </c>
      <c r="M122" s="4">
        <f>1850-650</f>
        <v>1200</v>
      </c>
      <c r="N122" s="4" t="s">
        <v>20</v>
      </c>
      <c r="O122" s="4" t="s">
        <v>20</v>
      </c>
      <c r="P122" s="4" t="str">
        <f>Table1[[#This Row],[Trap ID]]</f>
        <v>CARP2-464</v>
      </c>
      <c r="Q122" s="4"/>
    </row>
    <row r="123" spans="1:17" x14ac:dyDescent="0.2">
      <c r="A123" s="4" t="s">
        <v>17</v>
      </c>
      <c r="B123" s="4" t="s">
        <v>18</v>
      </c>
      <c r="C123" s="5">
        <v>44735</v>
      </c>
      <c r="D123" s="4"/>
      <c r="E123" s="6" t="s">
        <v>98</v>
      </c>
      <c r="F123" s="4">
        <v>10</v>
      </c>
      <c r="G123" s="4"/>
      <c r="H123" s="4" t="s">
        <v>20</v>
      </c>
      <c r="I123" s="4">
        <v>7384</v>
      </c>
      <c r="J123" s="4">
        <v>0</v>
      </c>
      <c r="K123" s="4" t="s">
        <v>20</v>
      </c>
      <c r="L123" s="4">
        <v>68.5</v>
      </c>
      <c r="M123" s="4">
        <f>2700-650</f>
        <v>2050</v>
      </c>
      <c r="N123" s="4" t="s">
        <v>20</v>
      </c>
      <c r="O123" s="4" t="s">
        <v>20</v>
      </c>
      <c r="P123" s="4" t="str">
        <f>Table1[[#This Row],[Trap ID]]</f>
        <v>CARP2-548</v>
      </c>
      <c r="Q123" s="4"/>
    </row>
    <row r="124" spans="1:17" x14ac:dyDescent="0.2">
      <c r="A124" s="4" t="s">
        <v>17</v>
      </c>
      <c r="B124" s="4" t="s">
        <v>18</v>
      </c>
      <c r="C124" s="5">
        <v>44735</v>
      </c>
      <c r="D124" s="4"/>
      <c r="E124" s="6" t="s">
        <v>98</v>
      </c>
      <c r="F124" s="4">
        <v>10</v>
      </c>
      <c r="G124" s="4"/>
      <c r="H124" s="4" t="s">
        <v>20</v>
      </c>
      <c r="I124" s="4">
        <v>7570</v>
      </c>
      <c r="J124" s="4">
        <v>0</v>
      </c>
      <c r="K124" s="4" t="s">
        <v>20</v>
      </c>
      <c r="L124" s="4">
        <v>60</v>
      </c>
      <c r="M124" s="4">
        <f>1700-650</f>
        <v>1050</v>
      </c>
      <c r="N124" s="4" t="s">
        <v>20</v>
      </c>
      <c r="O124" s="4" t="s">
        <v>20</v>
      </c>
      <c r="P124" s="4" t="str">
        <f>Table1[[#This Row],[Trap ID]]</f>
        <v>CARP2-548</v>
      </c>
      <c r="Q124" s="6" t="s">
        <v>99</v>
      </c>
    </row>
    <row r="125" spans="1:17" x14ac:dyDescent="0.2">
      <c r="A125" s="4" t="s">
        <v>17</v>
      </c>
      <c r="B125" s="4" t="s">
        <v>18</v>
      </c>
      <c r="C125" s="5">
        <v>44736</v>
      </c>
      <c r="D125" s="4"/>
      <c r="E125" s="6" t="s">
        <v>73</v>
      </c>
      <c r="F125" s="4">
        <v>7.3</v>
      </c>
      <c r="G125" s="4"/>
      <c r="H125" s="4" t="s">
        <v>20</v>
      </c>
      <c r="I125" s="4">
        <v>7587</v>
      </c>
      <c r="J125" s="4">
        <v>0</v>
      </c>
      <c r="K125" s="4" t="s">
        <v>20</v>
      </c>
      <c r="L125" s="4">
        <v>66</v>
      </c>
      <c r="M125" s="4">
        <f>2250-650</f>
        <v>1600</v>
      </c>
      <c r="N125" s="4" t="s">
        <v>20</v>
      </c>
      <c r="O125" s="4" t="s">
        <v>20</v>
      </c>
      <c r="P125" s="4" t="str">
        <f>Table1[[#This Row],[Trap ID]]</f>
        <v>CARP2-33</v>
      </c>
      <c r="Q125" s="4"/>
    </row>
    <row r="126" spans="1:17" x14ac:dyDescent="0.2">
      <c r="A126" s="4" t="s">
        <v>17</v>
      </c>
      <c r="B126" s="4" t="s">
        <v>18</v>
      </c>
      <c r="C126" s="5">
        <v>44736</v>
      </c>
      <c r="D126" s="4"/>
      <c r="E126" s="6" t="s">
        <v>78</v>
      </c>
      <c r="F126" s="4">
        <v>7.6</v>
      </c>
      <c r="G126" s="4"/>
      <c r="H126" s="4" t="s">
        <v>20</v>
      </c>
      <c r="I126" s="4">
        <v>7398</v>
      </c>
      <c r="J126" s="4">
        <v>100</v>
      </c>
      <c r="K126" s="4" t="s">
        <v>20</v>
      </c>
      <c r="L126" s="4">
        <v>56.5</v>
      </c>
      <c r="M126" s="4">
        <f>1950-650</f>
        <v>1300</v>
      </c>
      <c r="N126" s="4" t="s">
        <v>20</v>
      </c>
      <c r="O126" s="4" t="s">
        <v>20</v>
      </c>
      <c r="P126" s="4" t="str">
        <f>Table1[[#This Row],[Trap ID]]</f>
        <v>CARP2-384</v>
      </c>
      <c r="Q126" s="4"/>
    </row>
    <row r="127" spans="1:17" x14ac:dyDescent="0.2">
      <c r="A127" s="4" t="s">
        <v>17</v>
      </c>
      <c r="B127" s="4" t="s">
        <v>18</v>
      </c>
      <c r="C127" s="5">
        <v>44736</v>
      </c>
      <c r="D127" s="4"/>
      <c r="E127" s="6" t="s">
        <v>82</v>
      </c>
      <c r="F127" s="4">
        <v>8.6</v>
      </c>
      <c r="G127" s="4"/>
      <c r="H127" s="4" t="s">
        <v>20</v>
      </c>
      <c r="I127" s="4">
        <v>7394</v>
      </c>
      <c r="J127" s="4">
        <v>100</v>
      </c>
      <c r="K127" s="4" t="s">
        <v>20</v>
      </c>
      <c r="L127" s="4">
        <v>71</v>
      </c>
      <c r="M127" s="4">
        <f>3300-650</f>
        <v>2650</v>
      </c>
      <c r="N127" s="4" t="s">
        <v>20</v>
      </c>
      <c r="O127" s="4" t="s">
        <v>20</v>
      </c>
      <c r="P127" s="4" t="str">
        <f>Table1[[#This Row],[Trap ID]]</f>
        <v>CARP2-41</v>
      </c>
      <c r="Q127" s="4"/>
    </row>
    <row r="128" spans="1:17" x14ac:dyDescent="0.2">
      <c r="A128" s="4" t="s">
        <v>17</v>
      </c>
      <c r="B128" s="4" t="s">
        <v>18</v>
      </c>
      <c r="C128" s="5">
        <v>44736</v>
      </c>
      <c r="D128" s="4"/>
      <c r="E128" s="6" t="s">
        <v>82</v>
      </c>
      <c r="F128" s="4">
        <v>8.6</v>
      </c>
      <c r="G128" s="4"/>
      <c r="H128" s="4" t="s">
        <v>20</v>
      </c>
      <c r="I128" s="4">
        <v>7585</v>
      </c>
      <c r="J128" s="4">
        <v>0</v>
      </c>
      <c r="K128" s="4" t="s">
        <v>20</v>
      </c>
      <c r="L128" s="4">
        <v>59</v>
      </c>
      <c r="M128" s="4">
        <f>1950-650</f>
        <v>1300</v>
      </c>
      <c r="N128" s="4" t="s">
        <v>20</v>
      </c>
      <c r="O128" s="4" t="s">
        <v>20</v>
      </c>
      <c r="P128" s="4" t="str">
        <f>Table1[[#This Row],[Trap ID]]</f>
        <v>CARP2-41</v>
      </c>
      <c r="Q128" s="4"/>
    </row>
    <row r="129" spans="1:17" x14ac:dyDescent="0.2">
      <c r="A129" s="4" t="s">
        <v>17</v>
      </c>
      <c r="B129" s="4" t="s">
        <v>18</v>
      </c>
      <c r="C129" s="5">
        <v>44736</v>
      </c>
      <c r="D129" s="4"/>
      <c r="E129" s="6" t="s">
        <v>90</v>
      </c>
      <c r="F129" s="4">
        <v>9.3000000000000007</v>
      </c>
      <c r="G129" s="4"/>
      <c r="H129" s="4" t="s">
        <v>20</v>
      </c>
      <c r="I129" s="4">
        <v>7586</v>
      </c>
      <c r="J129" s="4">
        <v>0</v>
      </c>
      <c r="K129" s="4" t="s">
        <v>20</v>
      </c>
      <c r="L129" s="4">
        <v>91</v>
      </c>
      <c r="M129" s="4">
        <f>5700-650</f>
        <v>5050</v>
      </c>
      <c r="N129" s="4" t="s">
        <v>20</v>
      </c>
      <c r="O129" s="4" t="s">
        <v>20</v>
      </c>
      <c r="P129" s="4" t="str">
        <f>Table1[[#This Row],[Trap ID]]</f>
        <v>CARP2-466</v>
      </c>
      <c r="Q129" s="4"/>
    </row>
    <row r="130" spans="1:17" x14ac:dyDescent="0.2">
      <c r="A130" s="4" t="s">
        <v>17</v>
      </c>
      <c r="B130" s="4" t="s">
        <v>18</v>
      </c>
      <c r="C130" s="5">
        <v>44736</v>
      </c>
      <c r="D130" s="4"/>
      <c r="E130" s="6" t="s">
        <v>100</v>
      </c>
      <c r="F130" s="4">
        <v>9</v>
      </c>
      <c r="G130" s="4"/>
      <c r="H130" s="4" t="s">
        <v>20</v>
      </c>
      <c r="I130" s="4">
        <v>7396</v>
      </c>
      <c r="J130" s="4">
        <v>100</v>
      </c>
      <c r="K130" s="4" t="s">
        <v>20</v>
      </c>
      <c r="L130" s="4">
        <v>70.5</v>
      </c>
      <c r="M130" s="4">
        <f>2950-650</f>
        <v>2300</v>
      </c>
      <c r="N130" s="4" t="s">
        <v>20</v>
      </c>
      <c r="O130" s="4" t="s">
        <v>20</v>
      </c>
      <c r="P130" s="4" t="str">
        <f>Table1[[#This Row],[Trap ID]]</f>
        <v>CARP2-551</v>
      </c>
      <c r="Q130" s="4"/>
    </row>
    <row r="131" spans="1:17" x14ac:dyDescent="0.2">
      <c r="A131" s="4" t="s">
        <v>17</v>
      </c>
      <c r="B131" s="4" t="s">
        <v>18</v>
      </c>
      <c r="C131" s="5">
        <v>44736</v>
      </c>
      <c r="D131" s="4"/>
      <c r="E131" s="6" t="s">
        <v>103</v>
      </c>
      <c r="F131" s="4">
        <v>9.4</v>
      </c>
      <c r="G131" s="4"/>
      <c r="H131" s="4" t="s">
        <v>20</v>
      </c>
      <c r="I131" s="4">
        <v>7583</v>
      </c>
      <c r="J131" s="4">
        <v>0</v>
      </c>
      <c r="K131" s="4" t="s">
        <v>20</v>
      </c>
      <c r="L131" s="4">
        <v>74</v>
      </c>
      <c r="M131" s="4">
        <f>3050-650</f>
        <v>2400</v>
      </c>
      <c r="N131" s="4" t="s">
        <v>20</v>
      </c>
      <c r="O131" s="4" t="s">
        <v>20</v>
      </c>
      <c r="P131" s="4" t="str">
        <f>Table1[[#This Row],[Trap ID]]</f>
        <v>CARP2-613</v>
      </c>
      <c r="Q131" s="4"/>
    </row>
    <row r="132" spans="1:17" x14ac:dyDescent="0.2">
      <c r="A132" t="s">
        <v>17</v>
      </c>
      <c r="B132" t="s">
        <v>18</v>
      </c>
      <c r="C132" s="1">
        <v>44859</v>
      </c>
      <c r="D132" s="2">
        <v>0.3979166666666667</v>
      </c>
      <c r="E132" t="s">
        <v>161</v>
      </c>
      <c r="F132">
        <v>6.5</v>
      </c>
      <c r="H132" t="s">
        <v>20</v>
      </c>
      <c r="I132">
        <v>7400</v>
      </c>
      <c r="J132">
        <v>100</v>
      </c>
      <c r="K132" t="s">
        <v>20</v>
      </c>
      <c r="L132">
        <v>92.1</v>
      </c>
      <c r="M132">
        <v>5500</v>
      </c>
      <c r="N132" t="s">
        <v>20</v>
      </c>
      <c r="O132" t="s">
        <v>20</v>
      </c>
      <c r="P132" t="s">
        <v>161</v>
      </c>
    </row>
    <row r="133" spans="1:17" x14ac:dyDescent="0.2">
      <c r="A133" t="s">
        <v>17</v>
      </c>
      <c r="B133" t="s">
        <v>18</v>
      </c>
      <c r="C133" s="1">
        <v>44859</v>
      </c>
      <c r="D133" s="2">
        <v>0.4152777777777778</v>
      </c>
      <c r="E133" t="s">
        <v>162</v>
      </c>
      <c r="F133">
        <v>3.2</v>
      </c>
      <c r="H133" t="s">
        <v>20</v>
      </c>
      <c r="I133">
        <v>7589</v>
      </c>
      <c r="J133">
        <v>0</v>
      </c>
      <c r="K133" t="s">
        <v>20</v>
      </c>
      <c r="L133">
        <v>81.8</v>
      </c>
      <c r="M133">
        <v>3500</v>
      </c>
      <c r="N133" t="s">
        <v>20</v>
      </c>
      <c r="O133" t="s">
        <v>20</v>
      </c>
      <c r="P133" t="s">
        <v>162</v>
      </c>
    </row>
    <row r="134" spans="1:17" x14ac:dyDescent="0.2">
      <c r="A134" t="s">
        <v>17</v>
      </c>
      <c r="B134" t="s">
        <v>18</v>
      </c>
      <c r="C134" s="1">
        <v>44859</v>
      </c>
      <c r="D134" s="2">
        <v>0.41666666666666669</v>
      </c>
      <c r="E134" t="s">
        <v>163</v>
      </c>
      <c r="F134">
        <v>7.7</v>
      </c>
      <c r="H134" t="s">
        <v>20</v>
      </c>
      <c r="I134">
        <v>7401</v>
      </c>
      <c r="J134">
        <v>100</v>
      </c>
      <c r="K134" t="s">
        <v>20</v>
      </c>
      <c r="L134">
        <v>81.2</v>
      </c>
      <c r="M134">
        <v>4100</v>
      </c>
      <c r="N134" t="s">
        <v>20</v>
      </c>
      <c r="O134" t="s">
        <v>20</v>
      </c>
      <c r="P134" t="s">
        <v>163</v>
      </c>
    </row>
    <row r="135" spans="1:17" x14ac:dyDescent="0.2">
      <c r="A135" t="s">
        <v>17</v>
      </c>
      <c r="B135" t="s">
        <v>18</v>
      </c>
      <c r="C135" s="1">
        <v>44859</v>
      </c>
      <c r="D135" s="2">
        <v>0.44305555555555554</v>
      </c>
      <c r="E135" t="s">
        <v>164</v>
      </c>
      <c r="F135" s="11">
        <v>9.1</v>
      </c>
      <c r="H135" t="s">
        <v>20</v>
      </c>
      <c r="I135">
        <v>7590</v>
      </c>
      <c r="J135">
        <v>0</v>
      </c>
      <c r="K135" t="s">
        <v>20</v>
      </c>
      <c r="L135">
        <v>84.1</v>
      </c>
      <c r="M135">
        <v>4600</v>
      </c>
      <c r="N135" t="s">
        <v>20</v>
      </c>
      <c r="O135" t="s">
        <v>20</v>
      </c>
      <c r="P135" t="s">
        <v>164</v>
      </c>
    </row>
    <row r="136" spans="1:17" x14ac:dyDescent="0.2">
      <c r="A136" t="s">
        <v>17</v>
      </c>
      <c r="B136" t="s">
        <v>18</v>
      </c>
      <c r="C136" s="1">
        <v>44859</v>
      </c>
      <c r="D136" s="2">
        <v>0.48819444444444443</v>
      </c>
      <c r="E136" t="s">
        <v>165</v>
      </c>
      <c r="F136">
        <v>9.8000000000000007</v>
      </c>
      <c r="H136" t="s">
        <v>20</v>
      </c>
      <c r="I136">
        <v>7402</v>
      </c>
      <c r="J136">
        <v>100</v>
      </c>
      <c r="K136" t="s">
        <v>20</v>
      </c>
      <c r="L136">
        <v>71.3</v>
      </c>
      <c r="M136">
        <v>2600</v>
      </c>
      <c r="N136" t="s">
        <v>20</v>
      </c>
      <c r="O136" t="s">
        <v>20</v>
      </c>
      <c r="P136" t="s">
        <v>165</v>
      </c>
    </row>
    <row r="137" spans="1:17" x14ac:dyDescent="0.2">
      <c r="A137" t="s">
        <v>17</v>
      </c>
      <c r="B137" t="s">
        <v>18</v>
      </c>
      <c r="C137" s="1">
        <v>44859</v>
      </c>
      <c r="D137" s="2">
        <v>0.49444444444444446</v>
      </c>
      <c r="E137" t="s">
        <v>166</v>
      </c>
      <c r="F137">
        <v>3</v>
      </c>
      <c r="H137" t="s">
        <v>20</v>
      </c>
      <c r="I137" t="s">
        <v>20</v>
      </c>
      <c r="J137" t="s">
        <v>20</v>
      </c>
      <c r="K137" t="s">
        <v>20</v>
      </c>
      <c r="L137">
        <v>19</v>
      </c>
      <c r="M137" t="s">
        <v>20</v>
      </c>
      <c r="N137" t="s">
        <v>20</v>
      </c>
      <c r="O137" t="s">
        <v>20</v>
      </c>
      <c r="P137" t="s">
        <v>166</v>
      </c>
      <c r="Q137" t="s">
        <v>167</v>
      </c>
    </row>
    <row r="138" spans="1:17" x14ac:dyDescent="0.2">
      <c r="A138" t="s">
        <v>17</v>
      </c>
      <c r="B138" t="s">
        <v>18</v>
      </c>
      <c r="C138" s="1">
        <v>44859</v>
      </c>
      <c r="D138" s="2">
        <v>0.5083333333333333</v>
      </c>
      <c r="E138" t="s">
        <v>166</v>
      </c>
      <c r="F138">
        <v>3</v>
      </c>
      <c r="G138" t="s">
        <v>20</v>
      </c>
      <c r="H138" t="s">
        <v>20</v>
      </c>
      <c r="I138">
        <v>7592</v>
      </c>
      <c r="J138">
        <v>0</v>
      </c>
      <c r="K138" t="s">
        <v>20</v>
      </c>
      <c r="L138">
        <v>93.5</v>
      </c>
      <c r="M138">
        <v>5900</v>
      </c>
      <c r="N138" t="s">
        <v>20</v>
      </c>
      <c r="O138" t="s">
        <v>20</v>
      </c>
      <c r="P138" s="12" t="s">
        <v>166</v>
      </c>
      <c r="Q138" t="s">
        <v>168</v>
      </c>
    </row>
    <row r="139" spans="1:17" x14ac:dyDescent="0.2">
      <c r="A139" t="s">
        <v>17</v>
      </c>
      <c r="B139" t="s">
        <v>18</v>
      </c>
      <c r="C139" s="1">
        <v>44860</v>
      </c>
      <c r="D139" s="2">
        <v>0.37986111111111115</v>
      </c>
      <c r="E139" t="s">
        <v>169</v>
      </c>
      <c r="F139" s="11">
        <v>7</v>
      </c>
      <c r="H139" t="s">
        <v>20</v>
      </c>
      <c r="I139">
        <v>7403</v>
      </c>
      <c r="J139">
        <v>100</v>
      </c>
      <c r="K139" t="s">
        <v>20</v>
      </c>
      <c r="L139">
        <v>89.8</v>
      </c>
      <c r="M139">
        <v>5300</v>
      </c>
      <c r="N139" t="s">
        <v>20</v>
      </c>
      <c r="O139" t="s">
        <v>20</v>
      </c>
      <c r="P139" t="s">
        <v>169</v>
      </c>
    </row>
    <row r="140" spans="1:17" x14ac:dyDescent="0.2">
      <c r="A140" t="s">
        <v>17</v>
      </c>
      <c r="B140" t="s">
        <v>18</v>
      </c>
      <c r="C140" s="1">
        <v>44860</v>
      </c>
      <c r="D140" s="2">
        <v>0.38541666666666669</v>
      </c>
      <c r="E140" t="s">
        <v>169</v>
      </c>
      <c r="F140" s="11">
        <v>7</v>
      </c>
      <c r="H140" t="s">
        <v>20</v>
      </c>
      <c r="I140">
        <v>7593</v>
      </c>
      <c r="J140">
        <v>0</v>
      </c>
      <c r="K140" t="s">
        <v>20</v>
      </c>
      <c r="L140">
        <v>60.2</v>
      </c>
      <c r="M140">
        <v>1200</v>
      </c>
      <c r="N140" t="s">
        <v>20</v>
      </c>
      <c r="O140" t="s">
        <v>20</v>
      </c>
      <c r="P140" t="s">
        <v>169</v>
      </c>
    </row>
    <row r="141" spans="1:17" x14ac:dyDescent="0.2">
      <c r="A141" t="s">
        <v>17</v>
      </c>
      <c r="B141" t="s">
        <v>18</v>
      </c>
      <c r="C141" s="1">
        <v>44860</v>
      </c>
      <c r="D141" s="2">
        <v>0.40277777777777773</v>
      </c>
      <c r="E141" t="s">
        <v>170</v>
      </c>
      <c r="F141" s="11">
        <v>3.3</v>
      </c>
      <c r="H141" t="s">
        <v>20</v>
      </c>
      <c r="I141">
        <v>7404</v>
      </c>
      <c r="J141">
        <v>100</v>
      </c>
      <c r="K141" t="s">
        <v>20</v>
      </c>
      <c r="L141">
        <v>88.6</v>
      </c>
      <c r="M141">
        <v>4500</v>
      </c>
      <c r="N141" t="s">
        <v>20</v>
      </c>
      <c r="O141" t="s">
        <v>20</v>
      </c>
      <c r="P141" t="s">
        <v>170</v>
      </c>
    </row>
    <row r="142" spans="1:17" x14ac:dyDescent="0.2">
      <c r="A142" t="s">
        <v>17</v>
      </c>
      <c r="B142" t="s">
        <v>18</v>
      </c>
      <c r="C142" s="1">
        <v>44861</v>
      </c>
      <c r="D142" s="2">
        <v>0.41666666666666669</v>
      </c>
      <c r="E142" t="s">
        <v>171</v>
      </c>
      <c r="F142" s="11">
        <v>9.6999999999999993</v>
      </c>
      <c r="H142" t="s">
        <v>20</v>
      </c>
      <c r="I142">
        <v>7595</v>
      </c>
      <c r="J142">
        <v>0</v>
      </c>
      <c r="K142" t="s">
        <v>20</v>
      </c>
      <c r="L142">
        <v>54.8</v>
      </c>
      <c r="M142">
        <v>1050</v>
      </c>
      <c r="N142" t="s">
        <v>20</v>
      </c>
      <c r="O142" t="s">
        <v>20</v>
      </c>
      <c r="P142" t="s">
        <v>171</v>
      </c>
    </row>
    <row r="143" spans="1:17" x14ac:dyDescent="0.2">
      <c r="A143" t="s">
        <v>17</v>
      </c>
      <c r="B143" t="s">
        <v>18</v>
      </c>
      <c r="C143" s="1">
        <v>44861</v>
      </c>
      <c r="D143" s="2">
        <v>0.47361111111111115</v>
      </c>
      <c r="E143" t="s">
        <v>172</v>
      </c>
      <c r="F143" s="11">
        <v>10</v>
      </c>
      <c r="H143" t="s">
        <v>20</v>
      </c>
      <c r="I143">
        <v>7405</v>
      </c>
      <c r="J143">
        <v>100</v>
      </c>
      <c r="K143" t="s">
        <v>20</v>
      </c>
      <c r="L143">
        <v>70.2</v>
      </c>
      <c r="M143">
        <v>2200</v>
      </c>
      <c r="N143" t="s">
        <v>20</v>
      </c>
      <c r="O143" t="s">
        <v>20</v>
      </c>
      <c r="P143" t="s">
        <v>172</v>
      </c>
    </row>
    <row r="144" spans="1:17" x14ac:dyDescent="0.2">
      <c r="A144" t="s">
        <v>17</v>
      </c>
      <c r="B144" t="s">
        <v>18</v>
      </c>
      <c r="C144" s="1">
        <v>44861</v>
      </c>
      <c r="D144" s="2">
        <v>0.47500000000000003</v>
      </c>
      <c r="E144" t="s">
        <v>172</v>
      </c>
      <c r="F144" s="11">
        <v>10</v>
      </c>
      <c r="H144" t="s">
        <v>20</v>
      </c>
      <c r="I144">
        <v>7597</v>
      </c>
      <c r="J144">
        <v>0</v>
      </c>
      <c r="K144" t="s">
        <v>20</v>
      </c>
      <c r="L144">
        <v>54.2</v>
      </c>
      <c r="M144">
        <v>1100</v>
      </c>
      <c r="N144" t="s">
        <v>20</v>
      </c>
      <c r="O144" t="s">
        <v>20</v>
      </c>
      <c r="P144" t="s">
        <v>172</v>
      </c>
    </row>
    <row r="145" spans="1:17" x14ac:dyDescent="0.2">
      <c r="A145" t="s">
        <v>17</v>
      </c>
      <c r="B145" t="s">
        <v>18</v>
      </c>
      <c r="C145" s="1">
        <v>44861</v>
      </c>
      <c r="D145" s="2">
        <v>0.52152777777777781</v>
      </c>
      <c r="E145" t="s">
        <v>173</v>
      </c>
      <c r="F145" s="11">
        <v>8.5</v>
      </c>
      <c r="H145" t="s">
        <v>20</v>
      </c>
      <c r="I145">
        <v>7406</v>
      </c>
      <c r="J145">
        <v>100</v>
      </c>
      <c r="K145" t="s">
        <v>20</v>
      </c>
      <c r="L145">
        <v>74.900000000000006</v>
      </c>
      <c r="M145">
        <v>2700</v>
      </c>
      <c r="N145" t="s">
        <v>20</v>
      </c>
      <c r="O145" t="s">
        <v>20</v>
      </c>
      <c r="P145" t="s">
        <v>173</v>
      </c>
    </row>
    <row r="146" spans="1:17" x14ac:dyDescent="0.2">
      <c r="A146" t="s">
        <v>17</v>
      </c>
      <c r="B146" t="s">
        <v>18</v>
      </c>
      <c r="C146" s="1">
        <v>44862</v>
      </c>
      <c r="D146" s="2">
        <v>0.36805555555555558</v>
      </c>
      <c r="E146" t="s">
        <v>174</v>
      </c>
      <c r="F146">
        <v>3.4</v>
      </c>
      <c r="H146" t="s">
        <v>20</v>
      </c>
      <c r="I146">
        <v>7598</v>
      </c>
      <c r="J146">
        <v>0</v>
      </c>
      <c r="K146" t="s">
        <v>20</v>
      </c>
      <c r="L146">
        <v>92.2</v>
      </c>
      <c r="M146">
        <v>5500</v>
      </c>
      <c r="N146" t="s">
        <v>20</v>
      </c>
      <c r="O146" t="s">
        <v>20</v>
      </c>
      <c r="P146" t="s">
        <v>174</v>
      </c>
    </row>
    <row r="147" spans="1:17" x14ac:dyDescent="0.2">
      <c r="A147" t="s">
        <v>17</v>
      </c>
      <c r="B147" t="s">
        <v>18</v>
      </c>
      <c r="C147" s="1">
        <v>44862</v>
      </c>
      <c r="D147" s="2">
        <v>0.37291666666666662</v>
      </c>
      <c r="E147" t="s">
        <v>175</v>
      </c>
      <c r="F147" s="11">
        <v>2.9</v>
      </c>
      <c r="H147" t="s">
        <v>20</v>
      </c>
      <c r="I147">
        <v>7407</v>
      </c>
      <c r="J147">
        <v>100</v>
      </c>
      <c r="K147" t="s">
        <v>20</v>
      </c>
      <c r="L147">
        <v>56.2</v>
      </c>
      <c r="M147">
        <v>950</v>
      </c>
      <c r="N147" t="s">
        <v>20</v>
      </c>
      <c r="O147" t="s">
        <v>20</v>
      </c>
      <c r="P147" t="s">
        <v>175</v>
      </c>
    </row>
    <row r="148" spans="1:17" x14ac:dyDescent="0.2">
      <c r="A148" t="s">
        <v>17</v>
      </c>
      <c r="B148" t="s">
        <v>18</v>
      </c>
      <c r="C148" s="1">
        <v>44862</v>
      </c>
      <c r="D148" s="2">
        <v>0.39097222222222222</v>
      </c>
      <c r="E148" t="s">
        <v>176</v>
      </c>
      <c r="F148">
        <v>3.3</v>
      </c>
      <c r="H148" t="s">
        <v>20</v>
      </c>
      <c r="I148">
        <v>7599</v>
      </c>
      <c r="J148">
        <v>0</v>
      </c>
      <c r="K148" t="s">
        <v>20</v>
      </c>
      <c r="L148">
        <v>88.2</v>
      </c>
      <c r="M148">
        <v>5300</v>
      </c>
      <c r="N148" t="s">
        <v>20</v>
      </c>
      <c r="O148" t="s">
        <v>20</v>
      </c>
      <c r="P148" t="s">
        <v>176</v>
      </c>
    </row>
    <row r="149" spans="1:17" x14ac:dyDescent="0.2">
      <c r="A149" t="s">
        <v>17</v>
      </c>
      <c r="B149" t="s">
        <v>18</v>
      </c>
      <c r="C149" s="1">
        <v>44862</v>
      </c>
      <c r="D149" s="2">
        <v>0.39583333333333331</v>
      </c>
      <c r="E149" t="s">
        <v>177</v>
      </c>
      <c r="F149" s="11">
        <v>7.2</v>
      </c>
      <c r="H149" t="s">
        <v>20</v>
      </c>
      <c r="I149">
        <v>7408</v>
      </c>
      <c r="J149">
        <v>100</v>
      </c>
      <c r="K149" t="s">
        <v>20</v>
      </c>
      <c r="L149">
        <v>60.8</v>
      </c>
      <c r="M149">
        <v>1650</v>
      </c>
      <c r="N149" t="s">
        <v>20</v>
      </c>
      <c r="O149" t="s">
        <v>20</v>
      </c>
      <c r="P149" t="s">
        <v>177</v>
      </c>
    </row>
    <row r="150" spans="1:17" x14ac:dyDescent="0.2">
      <c r="A150" t="s">
        <v>17</v>
      </c>
      <c r="B150" t="s">
        <v>18</v>
      </c>
      <c r="C150" s="1">
        <v>44862</v>
      </c>
      <c r="D150" s="2">
        <v>0.3972222222222222</v>
      </c>
      <c r="E150" t="s">
        <v>177</v>
      </c>
      <c r="F150" s="11">
        <v>7.2</v>
      </c>
      <c r="H150" t="s">
        <v>20</v>
      </c>
      <c r="I150">
        <v>7600</v>
      </c>
      <c r="J150">
        <v>0</v>
      </c>
      <c r="K150" t="s">
        <v>20</v>
      </c>
      <c r="L150">
        <v>62.9</v>
      </c>
      <c r="M150">
        <v>1300</v>
      </c>
      <c r="N150" t="s">
        <v>20</v>
      </c>
      <c r="O150" t="s">
        <v>20</v>
      </c>
      <c r="P150" t="s">
        <v>177</v>
      </c>
    </row>
    <row r="151" spans="1:17" x14ac:dyDescent="0.2">
      <c r="A151" t="s">
        <v>17</v>
      </c>
      <c r="B151" t="s">
        <v>18</v>
      </c>
      <c r="C151" s="1">
        <v>44862</v>
      </c>
      <c r="D151" s="2">
        <v>0.39930555555555558</v>
      </c>
      <c r="E151" t="s">
        <v>177</v>
      </c>
      <c r="F151" s="11">
        <v>7.2</v>
      </c>
      <c r="H151" t="s">
        <v>20</v>
      </c>
      <c r="I151">
        <v>7409</v>
      </c>
      <c r="J151">
        <v>100</v>
      </c>
      <c r="K151" t="s">
        <v>20</v>
      </c>
      <c r="L151">
        <v>52.2</v>
      </c>
      <c r="M151">
        <v>950</v>
      </c>
      <c r="N151" t="s">
        <v>20</v>
      </c>
      <c r="O151" t="s">
        <v>20</v>
      </c>
      <c r="P151" t="s">
        <v>177</v>
      </c>
    </row>
    <row r="152" spans="1:17" x14ac:dyDescent="0.2">
      <c r="A152" t="s">
        <v>17</v>
      </c>
      <c r="B152" t="s">
        <v>18</v>
      </c>
      <c r="C152" s="1">
        <v>44862</v>
      </c>
      <c r="D152" s="2">
        <v>0.40277777777777773</v>
      </c>
      <c r="E152" t="s">
        <v>178</v>
      </c>
      <c r="F152" s="11">
        <v>5.9</v>
      </c>
      <c r="H152" t="s">
        <v>20</v>
      </c>
      <c r="I152">
        <v>7601</v>
      </c>
      <c r="J152">
        <v>0</v>
      </c>
      <c r="K152" t="s">
        <v>20</v>
      </c>
      <c r="L152">
        <v>59.1</v>
      </c>
      <c r="M152">
        <v>1200</v>
      </c>
      <c r="N152" t="s">
        <v>20</v>
      </c>
      <c r="O152" t="s">
        <v>20</v>
      </c>
      <c r="P152" t="s">
        <v>178</v>
      </c>
    </row>
    <row r="153" spans="1:17" x14ac:dyDescent="0.2">
      <c r="A153" t="s">
        <v>17</v>
      </c>
      <c r="B153" t="s">
        <v>18</v>
      </c>
      <c r="C153" s="1">
        <v>44862</v>
      </c>
      <c r="D153" s="2">
        <v>0.43541666666666662</v>
      </c>
      <c r="E153" t="s">
        <v>179</v>
      </c>
      <c r="F153" s="11">
        <v>5.3</v>
      </c>
      <c r="H153" t="s">
        <v>20</v>
      </c>
      <c r="I153">
        <v>7410</v>
      </c>
      <c r="J153">
        <v>100</v>
      </c>
      <c r="K153" t="s">
        <v>20</v>
      </c>
      <c r="L153">
        <v>71.3</v>
      </c>
      <c r="M153">
        <v>2350</v>
      </c>
      <c r="N153" t="s">
        <v>20</v>
      </c>
      <c r="O153" t="s">
        <v>20</v>
      </c>
      <c r="P153" t="s">
        <v>179</v>
      </c>
    </row>
    <row r="154" spans="1:17" x14ac:dyDescent="0.2">
      <c r="A154" t="s">
        <v>17</v>
      </c>
      <c r="B154" t="s">
        <v>18</v>
      </c>
      <c r="C154" s="1">
        <v>44862</v>
      </c>
      <c r="D154" s="2">
        <v>0.44513888888888892</v>
      </c>
      <c r="E154" t="s">
        <v>180</v>
      </c>
      <c r="F154">
        <v>10</v>
      </c>
      <c r="H154" t="s">
        <v>20</v>
      </c>
      <c r="I154">
        <v>7602</v>
      </c>
      <c r="J154">
        <v>0</v>
      </c>
      <c r="K154" t="s">
        <v>20</v>
      </c>
      <c r="L154">
        <v>93.7</v>
      </c>
      <c r="M154">
        <v>6300</v>
      </c>
      <c r="N154" t="s">
        <v>20</v>
      </c>
      <c r="O154" t="s">
        <v>20</v>
      </c>
      <c r="P154" t="s">
        <v>180</v>
      </c>
    </row>
    <row r="155" spans="1:17" x14ac:dyDescent="0.2">
      <c r="A155" t="s">
        <v>17</v>
      </c>
      <c r="B155" t="s">
        <v>18</v>
      </c>
      <c r="C155" s="1">
        <v>44862</v>
      </c>
      <c r="D155" s="2">
        <v>0.4909722222222222</v>
      </c>
      <c r="E155" t="s">
        <v>181</v>
      </c>
      <c r="F155" s="11">
        <v>2.2999999999999998</v>
      </c>
      <c r="H155" t="s">
        <v>20</v>
      </c>
      <c r="I155">
        <v>7311</v>
      </c>
      <c r="J155">
        <v>100</v>
      </c>
      <c r="K155" t="s">
        <v>20</v>
      </c>
      <c r="L155">
        <v>91.3</v>
      </c>
      <c r="M155">
        <v>4900</v>
      </c>
      <c r="N155" t="s">
        <v>20</v>
      </c>
      <c r="O155" t="s">
        <v>20</v>
      </c>
      <c r="P155" t="s">
        <v>181</v>
      </c>
    </row>
    <row r="156" spans="1:17" x14ac:dyDescent="0.2">
      <c r="A156" t="s">
        <v>17</v>
      </c>
      <c r="B156" t="s">
        <v>110</v>
      </c>
      <c r="E156" t="s">
        <v>140</v>
      </c>
      <c r="F156">
        <v>8.9</v>
      </c>
      <c r="H156" t="s">
        <v>20</v>
      </c>
      <c r="I156">
        <v>7471</v>
      </c>
      <c r="J156">
        <v>0</v>
      </c>
      <c r="K156" t="s">
        <v>20</v>
      </c>
      <c r="L156">
        <v>67.5</v>
      </c>
      <c r="M156">
        <f>2000-650</f>
        <v>1350</v>
      </c>
      <c r="N156" t="s">
        <v>20</v>
      </c>
      <c r="O156" t="s">
        <v>20</v>
      </c>
      <c r="P156" t="s">
        <v>121</v>
      </c>
      <c r="Q156" t="s">
        <v>141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2022-08-08T16:46:04Z</dcterms:created>
  <dcterms:modified xsi:type="dcterms:W3CDTF">2023-09-13T16:55:08Z</dcterms:modified>
  <cp:category/>
  <cp:contentStatus/>
</cp:coreProperties>
</file>