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h/bb-tagrec-2/carp_lk/data/raw/"/>
    </mc:Choice>
  </mc:AlternateContent>
  <xr:revisionPtr revIDLastSave="0" documentId="13_ncr:1_{EFED4C8E-2617-924A-A4B1-C8CACD814F12}" xr6:coauthVersionLast="47" xr6:coauthVersionMax="47" xr10:uidLastSave="{00000000-0000-0000-0000-000000000000}"/>
  <bookViews>
    <workbookView xWindow="840" yWindow="500" windowWidth="27960" windowHeight="17020" activeTab="4" xr2:uid="{26841386-543C-1F48-8D3D-5360CD2A68C1}"/>
  </bookViews>
  <sheets>
    <sheet name="Sheet1" sheetId="1" r:id="rId1"/>
    <sheet name="expectedrecs" sheetId="5" r:id="rId2"/>
    <sheet name="carp_data" sheetId="2" r:id="rId3"/>
    <sheet name="Sheet2" sheetId="3" r:id="rId4"/>
    <sheet name="m_array_carp" sheetId="4" r:id="rId5"/>
    <sheet name="m_array_carp_new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I26" i="1"/>
  <c r="I25" i="1"/>
  <c r="I24" i="1"/>
  <c r="I23" i="1"/>
  <c r="I22" i="1"/>
  <c r="I21" i="1"/>
  <c r="I20" i="1"/>
  <c r="I19" i="1"/>
  <c r="I18" i="1"/>
  <c r="H26" i="1"/>
  <c r="H25" i="1"/>
  <c r="H24" i="1"/>
  <c r="H23" i="1"/>
  <c r="H22" i="1"/>
  <c r="H21" i="1"/>
  <c r="H20" i="1"/>
  <c r="H19" i="1"/>
  <c r="H18" i="1"/>
  <c r="G24" i="1"/>
  <c r="G23" i="1"/>
  <c r="G22" i="1"/>
  <c r="G21" i="1"/>
  <c r="G20" i="1"/>
  <c r="G19" i="1"/>
  <c r="D18" i="1"/>
  <c r="G18" i="1"/>
  <c r="F22" i="1"/>
  <c r="F21" i="1"/>
  <c r="F20" i="1"/>
  <c r="E20" i="1"/>
  <c r="F19" i="1"/>
  <c r="E19" i="1"/>
  <c r="F18" i="1"/>
  <c r="E18" i="1"/>
</calcChain>
</file>

<file path=xl/sharedStrings.xml><?xml version="1.0" encoding="utf-8"?>
<sst xmlns="http://schemas.openxmlformats.org/spreadsheetml/2006/main" count="168" uniqueCount="68">
  <si>
    <t>Year of recovery</t>
  </si>
  <si>
    <t>year</t>
  </si>
  <si>
    <t>time tagged</t>
  </si>
  <si>
    <t>number tagged</t>
  </si>
  <si>
    <t>pre-season</t>
  </si>
  <si>
    <t>post-season</t>
  </si>
  <si>
    <t>N1</t>
  </si>
  <si>
    <t>N2</t>
  </si>
  <si>
    <t>N3</t>
  </si>
  <si>
    <t>N1*h1*l1</t>
  </si>
  <si>
    <t>N1'</t>
  </si>
  <si>
    <t>N2*h2*l2</t>
  </si>
  <si>
    <t>N3*h3*l3</t>
  </si>
  <si>
    <t>1</t>
  </si>
  <si>
    <t>2</t>
  </si>
  <si>
    <t>3</t>
  </si>
  <si>
    <t>4</t>
  </si>
  <si>
    <t>5</t>
  </si>
  <si>
    <t>N4</t>
  </si>
  <si>
    <t>never recovered</t>
  </si>
  <si>
    <t>using parameters h=0.1, l=0.7, s=0.8, N=100</t>
  </si>
  <si>
    <t>N1*(1-h1)*s1*h2*l2</t>
  </si>
  <si>
    <t>N1'*s1*h2*l2</t>
  </si>
  <si>
    <t>N1*(1-h1)*s1*(1-h2)*s2*h3*l3</t>
  </si>
  <si>
    <t>N1'*s1*(1-h2)*s2*h3*l3</t>
  </si>
  <si>
    <t>N2*(1-h2)*s2*h3*l3</t>
  </si>
  <si>
    <t>N2'*s2*h3*l3</t>
  </si>
  <si>
    <t>N5</t>
  </si>
  <si>
    <t>N4*h4*l4</t>
  </si>
  <si>
    <t>N5*h5*l5</t>
  </si>
  <si>
    <t>N2'</t>
  </si>
  <si>
    <t>N3'</t>
  </si>
  <si>
    <t>N4'</t>
  </si>
  <si>
    <t>N1*(1-h1)*s1*(1-h2)*s2*(1-h3)*s3*h4*l4</t>
  </si>
  <si>
    <t>N1*(1-h1)*s1*(1-h2)*s2*(1-h3)*s3*(1-h4)*s4*h5*l5</t>
  </si>
  <si>
    <t>N1'*s1*(1-h2)*s2*(1-h3)*s3*h4*l4</t>
  </si>
  <si>
    <t>N1'*s1*(1-h2)*s2*(1-h3)*s3*(1-h4)*s4*h5*l5</t>
  </si>
  <si>
    <t>N2*(1-h2)*s2*(1-h3)*s3*h4*l4</t>
  </si>
  <si>
    <t>N2*(1-h2)*s2*(1-h3)*s3*(1-h4)*s4*h5*l5</t>
  </si>
  <si>
    <t>N2'*s2*(1-h3)*s3*h4*l4</t>
  </si>
  <si>
    <t>N2'*s2*(1-h3)*s3*(1-h4)*s4*h5*l5</t>
  </si>
  <si>
    <t>N3*(1-h3)*s3*h4*l4</t>
  </si>
  <si>
    <t>N3*(1-h3)*s3*(1-h4)*s4*h5*l5</t>
  </si>
  <si>
    <t>N3'*s3*(1-h4)*s4*h5*l5</t>
  </si>
  <si>
    <t>N4*(1-h4)*s4*h5*l5</t>
  </si>
  <si>
    <t>N3'*s3*h4*l4</t>
  </si>
  <si>
    <t>N4'*s4*h5*l5</t>
  </si>
  <si>
    <t>never</t>
  </si>
  <si>
    <t>standard</t>
  </si>
  <si>
    <t>reward</t>
  </si>
  <si>
    <t>1pre</t>
  </si>
  <si>
    <t>1post</t>
  </si>
  <si>
    <t>2pre</t>
  </si>
  <si>
    <t>rec_yr_1</t>
  </si>
  <si>
    <t>rec_yr_2</t>
  </si>
  <si>
    <t>rel</t>
  </si>
  <si>
    <t>yr</t>
  </si>
  <si>
    <t>released</t>
  </si>
  <si>
    <t>t</t>
  </si>
  <si>
    <t>yr1rec</t>
  </si>
  <si>
    <t>yr2rec</t>
  </si>
  <si>
    <t>nevrec</t>
  </si>
  <si>
    <t>Tagging year</t>
  </si>
  <si>
    <t>Tagging season</t>
  </si>
  <si>
    <t>Number tagged</t>
  </si>
  <si>
    <t>Expected number of tag recoveries for each  year of study</t>
  </si>
  <si>
    <t>yr3rec</t>
  </si>
  <si>
    <t>yr4rec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</si>
</sst>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104861"/>
      <name val="Aptos Narrow"/>
      <family val="2"/>
      <scheme val="minor"/>
    </font>
    <font>
      <sz val="12"/>
      <color rgb="FF104861"/>
      <name val="Aptos Narrow"/>
      <family val="2"/>
      <scheme val="minor"/>
    </font>
    <font>
      <b/>
      <sz val="12"/>
      <color rgb="FF0C769E"/>
      <name val="Aptos Narrow"/>
      <family val="2"/>
      <scheme val="minor"/>
    </font>
    <font>
      <sz val="12"/>
      <color rgb="FF0C769E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CAEDFB"/>
        <bgColor rgb="FFCAEDFB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/>
      <right/>
      <top style="thin">
        <color theme="4"/>
      </top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thin">
        <color indexed="64"/>
      </bottom>
      <diagonal/>
    </border>
    <border>
      <left/>
      <right/>
      <top style="thin">
        <color rgb="FF156082"/>
      </top>
      <bottom/>
      <diagonal/>
    </border>
    <border>
      <left/>
      <right/>
      <top/>
      <bottom style="thin">
        <color rgb="FF0F9ED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4" borderId="0" xfId="0" applyFont="1" applyFill="1"/>
    <xf numFmtId="0" fontId="3" fillId="0" borderId="0" xfId="0" applyFont="1"/>
    <xf numFmtId="0" fontId="0" fillId="0" borderId="0" xfId="0" quotePrefix="1"/>
    <xf numFmtId="0" fontId="5" fillId="5" borderId="0" xfId="0" applyFont="1" applyFill="1"/>
    <xf numFmtId="0" fontId="5" fillId="0" borderId="0" xfId="0" applyFont="1"/>
    <xf numFmtId="0" fontId="4" fillId="0" borderId="5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border outline="0">
        <top style="thin">
          <color rgb="FF0F9ED5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border outline="0">
        <bottom style="thin">
          <color rgb="FF0F9ED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border outline="0">
        <top style="thin">
          <color rgb="FF0F9ED5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</dxf>
    <dxf>
      <border outline="0">
        <bottom style="thin">
          <color rgb="FF0F9ED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C769E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C35AB843-B779-1A4D-B724-A3A1F59CE7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35CCEC-F701-234A-9997-53D87ADBBEBD}" name="Table3" displayName="Table3" ref="A2:H11" totalsRowShown="0" headerRowDxfId="39">
  <autoFilter ref="A2:H11" xr:uid="{5E35CCEC-F701-234A-9997-53D87ADBBEBD}"/>
  <tableColumns count="8">
    <tableColumn id="1" xr3:uid="{7B4A3BDB-F2EF-3E44-AF1D-EF35967E08A1}" name="Tagging year"/>
    <tableColumn id="2" xr3:uid="{89DD5FAD-6818-F74D-BA3B-8AC7CD8AD332}" name="Tagging season"/>
    <tableColumn id="3" xr3:uid="{E2ECEE41-AB26-F943-B9FA-4B4036B117B1}" name="Number tagged"/>
    <tableColumn id="4" xr3:uid="{95ECB458-7C84-D94E-BF66-DBF1AA76F3F0}" name="1"/>
    <tableColumn id="5" xr3:uid="{F8689BEB-BFFE-8D44-8D60-B25F8640ECA8}" name="2"/>
    <tableColumn id="6" xr3:uid="{D3496D7B-174A-1540-BF4E-31339C3B394C}" name="3"/>
    <tableColumn id="7" xr3:uid="{E656CFC0-0614-DC4C-945F-82B903721BCE}" name="4"/>
    <tableColumn id="8" xr3:uid="{8EBDA025-D387-5744-AE61-9B8EB9458E8D}" name="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EB03C2-96B4-CF44-B6CE-CE0857FB3CEC}" name="Table1" displayName="Table1" ref="A17:I26" totalsRowShown="0">
  <autoFilter ref="A17:I26" xr:uid="{D8EB03C2-96B4-CF44-B6CE-CE0857FB3CEC}"/>
  <tableColumns count="9">
    <tableColumn id="1" xr3:uid="{BAAB5BCF-3072-AE4F-8125-70B905ED34F8}" name="year"/>
    <tableColumn id="2" xr3:uid="{060FEEBC-41A6-AB4B-8385-40FF7C807F2A}" name="time tagged"/>
    <tableColumn id="3" xr3:uid="{6CE018AD-8AE7-774F-B754-19CC92DAAB68}" name="number tagged"/>
    <tableColumn id="4" xr3:uid="{E6DBBC09-7DFA-5944-8C87-899CE7A167FE}" name="1"/>
    <tableColumn id="5" xr3:uid="{D5C5F345-FF1B-B64E-85AA-E649D780382C}" name="2"/>
    <tableColumn id="6" xr3:uid="{E13D7908-2965-A448-9C5B-B40A0584C9D2}" name="3"/>
    <tableColumn id="7" xr3:uid="{2BAF702D-8247-EB4A-AAD3-235C444CA60B}" name="4"/>
    <tableColumn id="8" xr3:uid="{87E8A6CD-AFB3-854D-8577-898EE3EB2FD8}" name="5"/>
    <tableColumn id="9" xr3:uid="{B34BB64D-7B16-EA41-A1E7-A0B81F3DCC5C}" name="never recovered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E3E926-F69B-1740-AE37-24E6CB3B8ACF}" name="Table37" displayName="Table37" ref="A2:H11" totalsRowShown="0" headerRowDxfId="38" dataDxfId="37">
  <autoFilter ref="A2:H11" xr:uid="{73E3E926-F69B-1740-AE37-24E6CB3B8ACF}"/>
  <tableColumns count="8">
    <tableColumn id="1" xr3:uid="{BD40B5DD-6BE4-B544-A347-61902A8A6430}" name="Tagging year" dataDxfId="36"/>
    <tableColumn id="2" xr3:uid="{0723BF95-7CDA-064F-842B-4839FFAEA6FF}" name="Tagging season" dataDxfId="35"/>
    <tableColumn id="3" xr3:uid="{BFCC3D5D-023F-7F45-BB6E-6D6316D1395E}" name="Number tagged" dataDxfId="34"/>
    <tableColumn id="4" xr3:uid="{41A075F7-C463-7F46-AB38-A85EBC0D1CEA}" name="1" dataDxfId="33"/>
    <tableColumn id="5" xr3:uid="{DCD4C3BB-7829-C74B-82C7-165F4F6E5E6F}" name="2" dataDxfId="32"/>
    <tableColumn id="6" xr3:uid="{7EF6D23C-CB45-1544-95C0-6F08F51B8B55}" name="3" dataDxfId="31"/>
    <tableColumn id="7" xr3:uid="{696F3542-04AC-ED4C-A5D0-C9DED974B9C3}" name="4" dataDxfId="30"/>
    <tableColumn id="8" xr3:uid="{70E7FC70-E2C0-5341-8363-352630929451}" name="5" dataDxfId="2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7EBFA3-47B0-4C4B-AB58-F7E53EA463A2}" name="Table2" displayName="Table2" ref="A2:F9" totalsRowCount="1" headerRowDxfId="28">
  <autoFilter ref="A2:F8" xr:uid="{DB7EBFA3-47B0-4C4B-AB58-F7E53EA463A2}"/>
  <tableColumns count="6">
    <tableColumn id="1" xr3:uid="{5F9808C3-C60F-6843-836D-25A8126325C1}" name="year"/>
    <tableColumn id="2" xr3:uid="{3454939B-0558-EC4B-8C28-8FB8A29A64B5}" name="time tagged"/>
    <tableColumn id="3" xr3:uid="{AE934B07-7982-B942-A969-2C6C08A59C12}" name="number tagged"/>
    <tableColumn id="4" xr3:uid="{C348B1D2-B40C-794C-A4DF-B10A46FEDCDC}" name="1"/>
    <tableColumn id="5" xr3:uid="{F17E0E20-1E2D-0F4D-9049-40C6A8F1C104}" name="2"/>
    <tableColumn id="6" xr3:uid="{F8F87BEC-118E-054B-88DF-59AA9247B2B7}" name="3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DD7578-DDBE-5E4F-82FE-E63850C01290}" name="Table5" displayName="Table5" ref="A1:G7" totalsRowShown="0" headerRowDxfId="27" dataDxfId="25" headerRowBorderDxfId="26" tableBorderDxfId="24">
  <autoFilter ref="A1:G7" xr:uid="{DEDD7578-DDBE-5E4F-82FE-E63850C01290}"/>
  <tableColumns count="7">
    <tableColumn id="1" xr3:uid="{FE2CDA4B-CE5F-2542-9B7F-F6001277BA19}" name="t" dataDxfId="23" totalsRowDxfId="22"/>
    <tableColumn id="2" xr3:uid="{E68A467D-3F8C-8C47-A7BD-90ACDE42D710}" name="rel" dataDxfId="21" totalsRowDxfId="20"/>
    <tableColumn id="3" xr3:uid="{B11BD075-C2BD-6A44-AC7B-905617D6DD03}" name="yr1rec" dataDxfId="19" totalsRowDxfId="18"/>
    <tableColumn id="4" xr3:uid="{2FB4B017-026F-BE49-A70D-E56307C2E931}" name="yr2rec" dataDxfId="17" totalsRowDxfId="16"/>
    <tableColumn id="5" xr3:uid="{3C14E748-A882-4D42-AB5F-6324AB6FCF51}" name="yr3rec" dataDxfId="15" totalsRowDxfId="14"/>
    <tableColumn id="7" xr3:uid="{AAB68480-2A4B-0149-A6C6-098E882F57BD}" name="yr4rec" dataDxfId="13" totalsRowDxfId="12"/>
    <tableColumn id="6" xr3:uid="{1FB4C9B7-4DC0-5640-9B30-A0FB0F8FDD95}" name="nevrec" dataDxfId="11" totalsRowDxfId="10">
      <calculatedColumnFormula>Table5[[#This Row],[rel]]-(Table5[[#This Row],[yr2rec]]+Table5[[#This Row],[yr1rec]]+Table5[[#This Row],[yr3rec]]+Table5[[#This Row],[yr4rec]])</calculatedColumnFormula>
    </tableColumn>
  </tableColumns>
  <tableStyleInfo name="TableStyleLight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942FDE-EF78-2E4C-8834-AD5D9F4EBA06}" name="Table55" displayName="Table55" ref="A1:F11" totalsRowShown="0" headerRowDxfId="9" dataDxfId="7" headerRowBorderDxfId="8" tableBorderDxfId="6">
  <autoFilter ref="A1:F11" xr:uid="{F6942FDE-EF78-2E4C-8834-AD5D9F4EBA06}"/>
  <tableColumns count="6">
    <tableColumn id="1" xr3:uid="{9A04D620-93BE-BB43-BF1E-66BC1B74D377}" name="t" dataDxfId="5"/>
    <tableColumn id="2" xr3:uid="{C03FD854-AE6F-144A-A216-4AB17FFBFFB1}" name="rel" dataDxfId="4"/>
    <tableColumn id="3" xr3:uid="{CDC902A1-101C-C94A-B813-C07824F458EA}" name="yr1rec" dataDxfId="3"/>
    <tableColumn id="4" xr3:uid="{E072110A-43D5-F345-9289-781319DA83F2}" name="yr2rec" dataDxfId="2"/>
    <tableColumn id="5" xr3:uid="{B8E80011-56AF-3C4C-B4CE-1D13566B66DA}" name="yr3rec" dataDxfId="1"/>
    <tableColumn id="6" xr3:uid="{7065EA1B-262B-9948-80AC-E75D56EB1468}" name="nevrec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CC2D-3CC9-4046-864F-E753461BB5DC}">
  <dimension ref="A1:I26"/>
  <sheetViews>
    <sheetView topLeftCell="A8" workbookViewId="0">
      <selection activeCell="G10" sqref="G10"/>
    </sheetView>
  </sheetViews>
  <sheetFormatPr baseColWidth="10" defaultRowHeight="16" x14ac:dyDescent="0.2"/>
  <cols>
    <col min="1" max="1" width="16.33203125" customWidth="1"/>
    <col min="2" max="2" width="19" customWidth="1"/>
    <col min="3" max="3" width="17" customWidth="1"/>
    <col min="4" max="4" width="10.83203125" customWidth="1"/>
    <col min="5" max="5" width="19.1640625" customWidth="1"/>
    <col min="6" max="6" width="28.5" customWidth="1"/>
    <col min="7" max="7" width="37" customWidth="1"/>
    <col min="8" max="8" width="46" customWidth="1"/>
    <col min="9" max="9" width="19.83203125" customWidth="1"/>
  </cols>
  <sheetData>
    <row r="1" spans="1:9" x14ac:dyDescent="0.2">
      <c r="D1" s="14" t="s">
        <v>65</v>
      </c>
      <c r="E1" s="14"/>
      <c r="F1" s="14"/>
      <c r="G1" s="14"/>
      <c r="H1" s="14"/>
    </row>
    <row r="2" spans="1:9" x14ac:dyDescent="0.2">
      <c r="A2" s="1" t="s">
        <v>62</v>
      </c>
      <c r="B2" s="1" t="s">
        <v>63</v>
      </c>
      <c r="C2" s="1" t="s">
        <v>64</v>
      </c>
      <c r="D2" s="1" t="s">
        <v>13</v>
      </c>
      <c r="E2" s="1" t="s">
        <v>14</v>
      </c>
      <c r="F2" s="2" t="s">
        <v>15</v>
      </c>
      <c r="G2" s="1" t="s">
        <v>16</v>
      </c>
      <c r="H2" s="1" t="s">
        <v>17</v>
      </c>
      <c r="I2" s="1"/>
    </row>
    <row r="3" spans="1:9" x14ac:dyDescent="0.2">
      <c r="A3">
        <v>1</v>
      </c>
      <c r="B3" t="s">
        <v>4</v>
      </c>
      <c r="C3" t="s">
        <v>6</v>
      </c>
      <c r="D3" t="s">
        <v>9</v>
      </c>
      <c r="E3" t="s">
        <v>21</v>
      </c>
      <c r="F3" t="s">
        <v>23</v>
      </c>
      <c r="G3" t="s">
        <v>33</v>
      </c>
      <c r="H3" t="s">
        <v>34</v>
      </c>
    </row>
    <row r="4" spans="1:9" x14ac:dyDescent="0.2">
      <c r="B4" t="s">
        <v>5</v>
      </c>
      <c r="C4" t="s">
        <v>10</v>
      </c>
      <c r="E4" t="s">
        <v>22</v>
      </c>
      <c r="F4" t="s">
        <v>24</v>
      </c>
      <c r="G4" t="s">
        <v>35</v>
      </c>
      <c r="H4" t="s">
        <v>36</v>
      </c>
    </row>
    <row r="5" spans="1:9" x14ac:dyDescent="0.2">
      <c r="A5">
        <v>2</v>
      </c>
      <c r="B5" t="s">
        <v>4</v>
      </c>
      <c r="C5" t="s">
        <v>7</v>
      </c>
      <c r="E5" t="s">
        <v>11</v>
      </c>
      <c r="F5" t="s">
        <v>25</v>
      </c>
      <c r="G5" t="s">
        <v>37</v>
      </c>
      <c r="H5" t="s">
        <v>38</v>
      </c>
    </row>
    <row r="6" spans="1:9" x14ac:dyDescent="0.2">
      <c r="B6" t="s">
        <v>5</v>
      </c>
      <c r="C6" t="s">
        <v>30</v>
      </c>
      <c r="F6" t="s">
        <v>26</v>
      </c>
      <c r="G6" t="s">
        <v>39</v>
      </c>
      <c r="H6" t="s">
        <v>40</v>
      </c>
    </row>
    <row r="7" spans="1:9" x14ac:dyDescent="0.2">
      <c r="A7">
        <v>3</v>
      </c>
      <c r="B7" t="s">
        <v>4</v>
      </c>
      <c r="C7" t="s">
        <v>8</v>
      </c>
      <c r="F7" t="s">
        <v>12</v>
      </c>
      <c r="G7" t="s">
        <v>41</v>
      </c>
      <c r="H7" t="s">
        <v>42</v>
      </c>
    </row>
    <row r="8" spans="1:9" x14ac:dyDescent="0.2">
      <c r="B8" t="s">
        <v>5</v>
      </c>
      <c r="C8" t="s">
        <v>31</v>
      </c>
      <c r="G8" t="s">
        <v>45</v>
      </c>
      <c r="H8" t="s">
        <v>43</v>
      </c>
    </row>
    <row r="9" spans="1:9" x14ac:dyDescent="0.2">
      <c r="A9">
        <v>4</v>
      </c>
      <c r="B9" t="s">
        <v>4</v>
      </c>
      <c r="C9" t="s">
        <v>18</v>
      </c>
      <c r="G9" t="s">
        <v>28</v>
      </c>
      <c r="H9" t="s">
        <v>44</v>
      </c>
    </row>
    <row r="10" spans="1:9" x14ac:dyDescent="0.2">
      <c r="B10" t="s">
        <v>5</v>
      </c>
      <c r="C10" t="s">
        <v>32</v>
      </c>
      <c r="H10" t="s">
        <v>46</v>
      </c>
    </row>
    <row r="11" spans="1:9" x14ac:dyDescent="0.2">
      <c r="A11">
        <v>5</v>
      </c>
      <c r="B11" t="s">
        <v>4</v>
      </c>
      <c r="C11" t="s">
        <v>27</v>
      </c>
      <c r="H11" t="s">
        <v>29</v>
      </c>
    </row>
    <row r="15" spans="1:9" x14ac:dyDescent="0.2">
      <c r="A15" t="s">
        <v>20</v>
      </c>
    </row>
    <row r="16" spans="1:9" x14ac:dyDescent="0.2">
      <c r="A16" s="3"/>
      <c r="B16" s="3"/>
      <c r="C16" s="3"/>
      <c r="D16" s="13" t="s">
        <v>0</v>
      </c>
      <c r="E16" s="13"/>
      <c r="F16" s="13"/>
      <c r="G16" s="13"/>
      <c r="H16" s="13"/>
    </row>
    <row r="17" spans="1:9" x14ac:dyDescent="0.2">
      <c r="A17" s="5" t="s">
        <v>1</v>
      </c>
      <c r="B17" s="5" t="s">
        <v>2</v>
      </c>
      <c r="C17" s="5" t="s">
        <v>3</v>
      </c>
      <c r="D17" s="5" t="s">
        <v>13</v>
      </c>
      <c r="E17" s="5" t="s">
        <v>14</v>
      </c>
      <c r="F17" s="6" t="s">
        <v>15</v>
      </c>
      <c r="G17" s="4" t="s">
        <v>16</v>
      </c>
      <c r="H17" s="4" t="s">
        <v>17</v>
      </c>
      <c r="I17" s="4" t="s">
        <v>19</v>
      </c>
    </row>
    <row r="18" spans="1:9" x14ac:dyDescent="0.2">
      <c r="A18" s="7">
        <v>1</v>
      </c>
      <c r="B18" s="7" t="s">
        <v>4</v>
      </c>
      <c r="C18" s="7">
        <v>100</v>
      </c>
      <c r="D18" s="7">
        <f>100*0.1*0.7</f>
        <v>7</v>
      </c>
      <c r="E18" s="7">
        <f>100*0.9*0.8*0.1*0.7</f>
        <v>5.04</v>
      </c>
      <c r="F18" s="7">
        <f>100*0.9*0.8*0.9*0.8*0.1*0.7</f>
        <v>3.6288000000000005</v>
      </c>
      <c r="G18">
        <f>100*0.9*0.8*0.9*0.8*0.9*0.8*0.1*0.7</f>
        <v>2.6127360000000004</v>
      </c>
      <c r="H18">
        <f>100*(1-0.1)*0.8*(1-0.1)*0.8*(1-0.1)*0.8*(1-0.1)*0.8*0.1*0.7</f>
        <v>1.8811699200000003</v>
      </c>
      <c r="I18">
        <f>Table1[[#This Row],[number tagged]]-(Table1[[#This Row],[5]]+Table1[[#This Row],[4]]+Table1[[#This Row],[3]]+Table1[[#This Row],[2]]+Table1[[#This Row],[1]])</f>
        <v>79.837294079999992</v>
      </c>
    </row>
    <row r="19" spans="1:9" x14ac:dyDescent="0.2">
      <c r="A19" s="8"/>
      <c r="B19" s="8" t="s">
        <v>5</v>
      </c>
      <c r="C19" s="8">
        <v>100</v>
      </c>
      <c r="D19" s="8"/>
      <c r="E19" s="8">
        <f>100*0.8*0.1*0.7</f>
        <v>5.6</v>
      </c>
      <c r="F19" s="8">
        <f>100*0.8*0.9*0.8*0.1*0.7</f>
        <v>4.032</v>
      </c>
      <c r="G19">
        <f>100*0.8*0.9*0.8*0.9*0.8*0.1*0.7</f>
        <v>2.9030400000000003</v>
      </c>
      <c r="H19">
        <f>100*0.8*(1-0.1)*0.8*(1-0.1)*0.8*(1-0.1)*0.8*0.1*0.7</f>
        <v>2.0901888000000008</v>
      </c>
      <c r="I19">
        <f>Table1[[#This Row],[number tagged]]-(Table1[[#This Row],[2]]+Table1[[#This Row],[3]]+Table1[[#This Row],[4]]+Table1[[#This Row],[5]])</f>
        <v>85.374771199999998</v>
      </c>
    </row>
    <row r="20" spans="1:9" x14ac:dyDescent="0.2">
      <c r="A20" s="7">
        <v>2</v>
      </c>
      <c r="B20" s="7" t="s">
        <v>4</v>
      </c>
      <c r="C20" s="7">
        <v>100</v>
      </c>
      <c r="D20" s="7"/>
      <c r="E20" s="7">
        <f>100*0.1*0.7</f>
        <v>7</v>
      </c>
      <c r="F20" s="7">
        <f>100*0.9*0.8*0.1*0.7</f>
        <v>5.04</v>
      </c>
      <c r="G20">
        <f>100*0.9*0.8*0.9*0.8*0.1*0.7</f>
        <v>3.6288000000000005</v>
      </c>
      <c r="H20">
        <f>100*(1-0.1)*0.8*(1-0.1)*0.8*(1-0.1)*0.8*0.1*0.7</f>
        <v>2.6127360000000004</v>
      </c>
      <c r="I20">
        <f>Table1[[#This Row],[number tagged]]-(Table1[[#This Row],[2]]+Table1[[#This Row],[3]]+Table1[[#This Row],[4]]+Table1[[#This Row],[5]])</f>
        <v>81.718463999999997</v>
      </c>
    </row>
    <row r="21" spans="1:9" x14ac:dyDescent="0.2">
      <c r="A21" s="8"/>
      <c r="B21" s="8" t="s">
        <v>5</v>
      </c>
      <c r="C21" s="8">
        <v>100</v>
      </c>
      <c r="D21" s="8"/>
      <c r="E21" s="8"/>
      <c r="F21" s="8">
        <f>100*0.8*0.1*0.7</f>
        <v>5.6</v>
      </c>
      <c r="G21">
        <f>100*0.8*0.9*0.8*0.1*0.7</f>
        <v>4.032</v>
      </c>
      <c r="H21">
        <f>100*0.8*(1-0.1)*0.8*(1-0.1)*0.8*0.1*0.7</f>
        <v>2.9030400000000003</v>
      </c>
      <c r="I21">
        <f>Table1[[#This Row],[number tagged]]-(Table1[[#This Row],[3]]+Table1[[#This Row],[4]]+Table1[[#This Row],[5]])</f>
        <v>87.464960000000005</v>
      </c>
    </row>
    <row r="22" spans="1:9" x14ac:dyDescent="0.2">
      <c r="A22" s="7">
        <v>3</v>
      </c>
      <c r="B22" s="7" t="s">
        <v>4</v>
      </c>
      <c r="C22" s="7">
        <v>100</v>
      </c>
      <c r="D22" s="7"/>
      <c r="E22" s="7"/>
      <c r="F22" s="7">
        <f>100*0.1*0.7</f>
        <v>7</v>
      </c>
      <c r="G22">
        <f>100*0.9*0.8*0.1*0.7</f>
        <v>5.04</v>
      </c>
      <c r="H22">
        <f>100*(1-0.1)*0.8*(1-0.1)*0.8*0.1*0.7</f>
        <v>3.6288000000000005</v>
      </c>
      <c r="I22">
        <f>Table1[[#This Row],[number tagged]]-(Table1[[#This Row],[3]]+Table1[[#This Row],[4]]+Table1[[#This Row],[5]])</f>
        <v>84.331199999999995</v>
      </c>
    </row>
    <row r="23" spans="1:9" x14ac:dyDescent="0.2">
      <c r="A23" s="8"/>
      <c r="B23" s="8" t="s">
        <v>5</v>
      </c>
      <c r="C23" s="8">
        <v>100</v>
      </c>
      <c r="D23" s="8"/>
      <c r="E23" s="8"/>
      <c r="F23" s="8"/>
      <c r="G23">
        <f>100*0.8*0.7*0.1</f>
        <v>5.6000000000000005</v>
      </c>
      <c r="H23">
        <f>100*0.8*(1-0.1)*0.8*0.1*0.7</f>
        <v>4.032</v>
      </c>
      <c r="I23">
        <f>Table1[[#This Row],[number tagged]]-(Table1[[#This Row],[4]]+Table1[[#This Row],[5]])</f>
        <v>90.367999999999995</v>
      </c>
    </row>
    <row r="24" spans="1:9" x14ac:dyDescent="0.2">
      <c r="A24">
        <v>4</v>
      </c>
      <c r="B24" t="s">
        <v>4</v>
      </c>
      <c r="C24">
        <v>100</v>
      </c>
      <c r="G24">
        <f>100*0.1*0.7</f>
        <v>7</v>
      </c>
      <c r="H24">
        <f>100*(1-0.1)*0.8*0.1*0.7</f>
        <v>5.04</v>
      </c>
      <c r="I24">
        <f>Table1[[#This Row],[number tagged]]-(Table1[[#This Row],[4]]+Table1[[#This Row],[5]])</f>
        <v>87.960000000000008</v>
      </c>
    </row>
    <row r="25" spans="1:9" x14ac:dyDescent="0.2">
      <c r="B25" t="s">
        <v>5</v>
      </c>
      <c r="C25">
        <v>100</v>
      </c>
      <c r="H25">
        <f>100*0.8*0.1*0.7</f>
        <v>5.6</v>
      </c>
      <c r="I25">
        <f>Table1[[#This Row],[number tagged]]-(Table1[[#This Row],[5]])</f>
        <v>94.4</v>
      </c>
    </row>
    <row r="26" spans="1:9" x14ac:dyDescent="0.2">
      <c r="A26">
        <v>5</v>
      </c>
      <c r="B26" t="s">
        <v>4</v>
      </c>
      <c r="C26">
        <v>100</v>
      </c>
      <c r="H26">
        <f>100*0.1*0.7</f>
        <v>7</v>
      </c>
      <c r="I26">
        <f>Table1[[#This Row],[number tagged]]-Table1[[#This Row],[5]]</f>
        <v>93</v>
      </c>
    </row>
  </sheetData>
  <mergeCells count="2">
    <mergeCell ref="D16:H16"/>
    <mergeCell ref="D1:H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7F0C-B752-9E4D-8CE5-7A1EA1037723}">
  <dimension ref="A1:H11"/>
  <sheetViews>
    <sheetView workbookViewId="0">
      <selection activeCell="D20" sqref="D20"/>
    </sheetView>
  </sheetViews>
  <sheetFormatPr baseColWidth="10" defaultRowHeight="16" x14ac:dyDescent="0.2"/>
  <cols>
    <col min="1" max="1" width="16.33203125" customWidth="1"/>
    <col min="2" max="2" width="19" customWidth="1"/>
    <col min="3" max="3" width="17" customWidth="1"/>
    <col min="5" max="5" width="19.1640625" customWidth="1"/>
    <col min="6" max="6" width="28.5" customWidth="1"/>
    <col min="7" max="7" width="37" customWidth="1"/>
    <col min="8" max="8" width="46" customWidth="1"/>
  </cols>
  <sheetData>
    <row r="1" spans="1:8" x14ac:dyDescent="0.2">
      <c r="D1" s="15" t="s">
        <v>65</v>
      </c>
      <c r="E1" s="15"/>
      <c r="F1" s="15"/>
      <c r="G1" s="15"/>
      <c r="H1" s="15"/>
    </row>
    <row r="2" spans="1:8" x14ac:dyDescent="0.2">
      <c r="A2" s="1" t="s">
        <v>62</v>
      </c>
      <c r="B2" s="1" t="s">
        <v>63</v>
      </c>
      <c r="C2" s="1" t="s">
        <v>64</v>
      </c>
      <c r="D2" s="1" t="s">
        <v>13</v>
      </c>
      <c r="E2" s="1" t="s">
        <v>14</v>
      </c>
      <c r="F2" s="2" t="s">
        <v>15</v>
      </c>
      <c r="G2" s="1" t="s">
        <v>16</v>
      </c>
      <c r="H2" s="1" t="s">
        <v>17</v>
      </c>
    </row>
    <row r="3" spans="1:8" x14ac:dyDescent="0.2">
      <c r="A3">
        <v>1</v>
      </c>
      <c r="B3" t="s">
        <v>4</v>
      </c>
      <c r="C3" t="s">
        <v>6</v>
      </c>
      <c r="D3" t="s">
        <v>9</v>
      </c>
      <c r="E3" t="s">
        <v>21</v>
      </c>
      <c r="F3" t="s">
        <v>23</v>
      </c>
      <c r="G3" t="s">
        <v>33</v>
      </c>
      <c r="H3" t="s">
        <v>34</v>
      </c>
    </row>
    <row r="4" spans="1:8" x14ac:dyDescent="0.2">
      <c r="B4" t="s">
        <v>5</v>
      </c>
      <c r="C4" t="s">
        <v>10</v>
      </c>
      <c r="E4" t="s">
        <v>22</v>
      </c>
      <c r="F4" t="s">
        <v>24</v>
      </c>
      <c r="G4" t="s">
        <v>35</v>
      </c>
      <c r="H4" t="s">
        <v>36</v>
      </c>
    </row>
    <row r="5" spans="1:8" x14ac:dyDescent="0.2">
      <c r="A5">
        <v>2</v>
      </c>
      <c r="B5" t="s">
        <v>4</v>
      </c>
      <c r="C5" t="s">
        <v>7</v>
      </c>
      <c r="E5" t="s">
        <v>11</v>
      </c>
      <c r="F5" t="s">
        <v>25</v>
      </c>
      <c r="G5" t="s">
        <v>37</v>
      </c>
      <c r="H5" t="s">
        <v>38</v>
      </c>
    </row>
    <row r="6" spans="1:8" x14ac:dyDescent="0.2">
      <c r="B6" t="s">
        <v>5</v>
      </c>
      <c r="C6" t="s">
        <v>30</v>
      </c>
      <c r="F6" t="s">
        <v>26</v>
      </c>
      <c r="G6" t="s">
        <v>39</v>
      </c>
      <c r="H6" t="s">
        <v>40</v>
      </c>
    </row>
    <row r="7" spans="1:8" x14ac:dyDescent="0.2">
      <c r="A7">
        <v>3</v>
      </c>
      <c r="B7" t="s">
        <v>4</v>
      </c>
      <c r="C7" t="s">
        <v>8</v>
      </c>
      <c r="F7" t="s">
        <v>12</v>
      </c>
      <c r="G7" t="s">
        <v>41</v>
      </c>
      <c r="H7" t="s">
        <v>42</v>
      </c>
    </row>
    <row r="8" spans="1:8" x14ac:dyDescent="0.2">
      <c r="B8" t="s">
        <v>5</v>
      </c>
      <c r="C8" t="s">
        <v>31</v>
      </c>
      <c r="G8" t="s">
        <v>45</v>
      </c>
      <c r="H8" t="s">
        <v>43</v>
      </c>
    </row>
    <row r="9" spans="1:8" x14ac:dyDescent="0.2">
      <c r="A9">
        <v>4</v>
      </c>
      <c r="B9" t="s">
        <v>4</v>
      </c>
      <c r="C9" t="s">
        <v>18</v>
      </c>
      <c r="G9" t="s">
        <v>28</v>
      </c>
      <c r="H9" t="s">
        <v>44</v>
      </c>
    </row>
    <row r="10" spans="1:8" x14ac:dyDescent="0.2">
      <c r="B10" t="s">
        <v>5</v>
      </c>
      <c r="C10" t="s">
        <v>32</v>
      </c>
      <c r="H10" t="s">
        <v>46</v>
      </c>
    </row>
    <row r="11" spans="1:8" x14ac:dyDescent="0.2">
      <c r="A11">
        <v>5</v>
      </c>
      <c r="B11" t="s">
        <v>4</v>
      </c>
      <c r="C11" t="s">
        <v>27</v>
      </c>
      <c r="H11" t="s">
        <v>29</v>
      </c>
    </row>
  </sheetData>
  <mergeCells count="1">
    <mergeCell ref="D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8821-AEFA-0047-B22C-79DC7E4644DB}">
  <dimension ref="A1:F8"/>
  <sheetViews>
    <sheetView workbookViewId="0">
      <selection activeCell="F3" sqref="F3"/>
    </sheetView>
  </sheetViews>
  <sheetFormatPr baseColWidth="10" defaultRowHeight="16" x14ac:dyDescent="0.2"/>
  <cols>
    <col min="1" max="1" width="12" customWidth="1"/>
    <col min="2" max="2" width="14.33203125" customWidth="1"/>
    <col min="3" max="3" width="15.5" customWidth="1"/>
    <col min="4" max="4" width="15.83203125" customWidth="1"/>
    <col min="5" max="5" width="24" customWidth="1"/>
    <col min="6" max="6" width="34.1640625" customWidth="1"/>
  </cols>
  <sheetData>
    <row r="1" spans="1:6" x14ac:dyDescent="0.2">
      <c r="D1" s="16" t="s">
        <v>0</v>
      </c>
      <c r="E1" s="17"/>
      <c r="F1" s="18"/>
    </row>
    <row r="2" spans="1:6" x14ac:dyDescent="0.2">
      <c r="A2" s="1" t="s">
        <v>1</v>
      </c>
      <c r="B2" s="1" t="s">
        <v>2</v>
      </c>
      <c r="C2" s="1" t="s">
        <v>3</v>
      </c>
      <c r="D2" s="1" t="s">
        <v>13</v>
      </c>
      <c r="E2" s="1" t="s">
        <v>14</v>
      </c>
      <c r="F2" s="2" t="s">
        <v>15</v>
      </c>
    </row>
    <row r="3" spans="1:6" x14ac:dyDescent="0.2">
      <c r="A3">
        <v>2022</v>
      </c>
      <c r="B3" t="s">
        <v>4</v>
      </c>
      <c r="C3">
        <v>91</v>
      </c>
      <c r="D3">
        <v>2</v>
      </c>
      <c r="E3">
        <v>4</v>
      </c>
      <c r="F3" s="9">
        <v>1</v>
      </c>
    </row>
    <row r="4" spans="1:6" x14ac:dyDescent="0.2">
      <c r="B4" t="s">
        <v>5</v>
      </c>
      <c r="C4">
        <v>23</v>
      </c>
      <c r="E4">
        <v>1</v>
      </c>
      <c r="F4" s="9">
        <v>1</v>
      </c>
    </row>
    <row r="5" spans="1:6" x14ac:dyDescent="0.2">
      <c r="A5">
        <v>2023</v>
      </c>
      <c r="B5" t="s">
        <v>4</v>
      </c>
      <c r="C5">
        <v>122</v>
      </c>
      <c r="E5">
        <v>10</v>
      </c>
      <c r="F5">
        <v>3</v>
      </c>
    </row>
    <row r="6" spans="1:6" x14ac:dyDescent="0.2">
      <c r="B6" t="s">
        <v>5</v>
      </c>
      <c r="C6">
        <v>0</v>
      </c>
    </row>
    <row r="7" spans="1:6" x14ac:dyDescent="0.2">
      <c r="A7">
        <v>2024</v>
      </c>
      <c r="B7" t="s">
        <v>4</v>
      </c>
      <c r="C7">
        <v>0</v>
      </c>
    </row>
    <row r="8" spans="1:6" x14ac:dyDescent="0.2">
      <c r="B8" t="s">
        <v>5</v>
      </c>
      <c r="C8">
        <v>0</v>
      </c>
    </row>
  </sheetData>
  <mergeCells count="1">
    <mergeCell ref="D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8889-8C4B-A948-BFE3-7FB84FCAE215}">
  <dimension ref="A6:E19"/>
  <sheetViews>
    <sheetView workbookViewId="0">
      <selection activeCell="A6" sqref="A6:E19"/>
    </sheetView>
  </sheetViews>
  <sheetFormatPr baseColWidth="10" defaultRowHeight="16" x14ac:dyDescent="0.2"/>
  <sheetData>
    <row r="6" spans="1:5" x14ac:dyDescent="0.2">
      <c r="B6" s="15" t="s">
        <v>48</v>
      </c>
      <c r="C6" s="15"/>
      <c r="D6" s="15"/>
      <c r="E6" s="15"/>
    </row>
    <row r="7" spans="1:5" x14ac:dyDescent="0.2">
      <c r="A7" t="s">
        <v>56</v>
      </c>
      <c r="B7" t="s">
        <v>57</v>
      </c>
      <c r="C7" t="s">
        <v>53</v>
      </c>
      <c r="D7" t="s">
        <v>54</v>
      </c>
      <c r="E7" t="s">
        <v>47</v>
      </c>
    </row>
    <row r="8" spans="1:5" x14ac:dyDescent="0.2">
      <c r="A8" t="s">
        <v>50</v>
      </c>
      <c r="B8">
        <v>47</v>
      </c>
      <c r="C8">
        <v>0</v>
      </c>
      <c r="D8">
        <v>2</v>
      </c>
      <c r="E8">
        <v>45</v>
      </c>
    </row>
    <row r="9" spans="1:5" x14ac:dyDescent="0.2">
      <c r="A9" t="s">
        <v>51</v>
      </c>
      <c r="B9">
        <v>11</v>
      </c>
      <c r="C9">
        <v>0</v>
      </c>
      <c r="D9">
        <v>0</v>
      </c>
      <c r="E9">
        <v>11</v>
      </c>
    </row>
    <row r="10" spans="1:5" x14ac:dyDescent="0.2">
      <c r="A10" t="s">
        <v>52</v>
      </c>
      <c r="B10">
        <v>59</v>
      </c>
      <c r="C10">
        <v>0</v>
      </c>
      <c r="D10">
        <v>5</v>
      </c>
      <c r="E10">
        <v>54</v>
      </c>
    </row>
    <row r="15" spans="1:5" x14ac:dyDescent="0.2">
      <c r="B15" s="15" t="s">
        <v>49</v>
      </c>
      <c r="C15" s="15"/>
      <c r="D15" s="15"/>
      <c r="E15" s="15"/>
    </row>
    <row r="16" spans="1:5" x14ac:dyDescent="0.2">
      <c r="A16" t="s">
        <v>56</v>
      </c>
      <c r="B16" t="s">
        <v>57</v>
      </c>
      <c r="C16" t="s">
        <v>53</v>
      </c>
      <c r="D16" t="s">
        <v>54</v>
      </c>
      <c r="E16" t="s">
        <v>47</v>
      </c>
    </row>
    <row r="17" spans="1:5" x14ac:dyDescent="0.2">
      <c r="A17" t="s">
        <v>50</v>
      </c>
      <c r="B17">
        <v>44</v>
      </c>
      <c r="C17">
        <v>2</v>
      </c>
      <c r="D17">
        <v>2</v>
      </c>
      <c r="E17">
        <v>40</v>
      </c>
    </row>
    <row r="18" spans="1:5" x14ac:dyDescent="0.2">
      <c r="A18" t="s">
        <v>51</v>
      </c>
      <c r="B18">
        <v>12</v>
      </c>
      <c r="C18">
        <v>0</v>
      </c>
      <c r="D18">
        <v>1</v>
      </c>
      <c r="E18">
        <v>11</v>
      </c>
    </row>
    <row r="19" spans="1:5" x14ac:dyDescent="0.2">
      <c r="A19" t="s">
        <v>52</v>
      </c>
      <c r="B19">
        <v>63</v>
      </c>
      <c r="C19">
        <v>0</v>
      </c>
      <c r="D19">
        <v>5</v>
      </c>
      <c r="E19">
        <v>58</v>
      </c>
    </row>
  </sheetData>
  <mergeCells count="2">
    <mergeCell ref="B6:E6"/>
    <mergeCell ref="B15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AA6CB-B570-2341-9A67-B3CE813B0FF4}">
  <dimension ref="A1:G7"/>
  <sheetViews>
    <sheetView tabSelected="1" workbookViewId="0">
      <selection activeCell="B17" sqref="B17"/>
    </sheetView>
  </sheetViews>
  <sheetFormatPr baseColWidth="10" defaultRowHeight="16" x14ac:dyDescent="0.2"/>
  <sheetData>
    <row r="1" spans="1:7" x14ac:dyDescent="0.2">
      <c r="A1" s="12" t="s">
        <v>58</v>
      </c>
      <c r="B1" s="12" t="s">
        <v>55</v>
      </c>
      <c r="C1" s="12" t="s">
        <v>59</v>
      </c>
      <c r="D1" s="12" t="s">
        <v>60</v>
      </c>
      <c r="E1" s="12" t="s">
        <v>66</v>
      </c>
      <c r="F1" s="12" t="s">
        <v>67</v>
      </c>
      <c r="G1" s="12" t="s">
        <v>61</v>
      </c>
    </row>
    <row r="2" spans="1:7" x14ac:dyDescent="0.2">
      <c r="A2" s="10">
        <v>1</v>
      </c>
      <c r="B2" s="10">
        <v>47</v>
      </c>
      <c r="C2" s="10">
        <v>0</v>
      </c>
      <c r="D2" s="10">
        <v>2</v>
      </c>
      <c r="E2" s="10">
        <v>0</v>
      </c>
      <c r="F2" s="10">
        <v>3</v>
      </c>
      <c r="G2" s="10">
        <f>Table5[[#This Row],[rel]]-(Table5[[#This Row],[yr2rec]]+Table5[[#This Row],[yr1rec]]+Table5[[#This Row],[yr3rec]]+Table5[[#This Row],[yr4rec]])</f>
        <v>42</v>
      </c>
    </row>
    <row r="3" spans="1:7" x14ac:dyDescent="0.2">
      <c r="A3" s="11">
        <v>1</v>
      </c>
      <c r="B3" s="11">
        <v>11</v>
      </c>
      <c r="C3" s="11">
        <v>0</v>
      </c>
      <c r="D3" s="11">
        <v>0</v>
      </c>
      <c r="E3" s="11">
        <v>0</v>
      </c>
      <c r="F3" s="11">
        <v>0</v>
      </c>
      <c r="G3" s="11">
        <f>Table5[[#This Row],[rel]]-(Table5[[#This Row],[yr2rec]]+Table5[[#This Row],[yr1rec]]+Table5[[#This Row],[yr3rec]]+Table5[[#This Row],[yr4rec]])</f>
        <v>11</v>
      </c>
    </row>
    <row r="4" spans="1:7" x14ac:dyDescent="0.2">
      <c r="A4" s="10">
        <v>1</v>
      </c>
      <c r="B4" s="10">
        <v>59</v>
      </c>
      <c r="C4" s="10">
        <v>0</v>
      </c>
      <c r="D4" s="10">
        <v>5</v>
      </c>
      <c r="E4" s="10">
        <v>3</v>
      </c>
      <c r="F4" s="10">
        <v>3</v>
      </c>
      <c r="G4" s="10">
        <f>Table5[[#This Row],[rel]]-(Table5[[#This Row],[yr2rec]]+Table5[[#This Row],[yr1rec]]+Table5[[#This Row],[yr3rec]]+Table5[[#This Row],[yr4rec]])</f>
        <v>48</v>
      </c>
    </row>
    <row r="5" spans="1:7" x14ac:dyDescent="0.2">
      <c r="A5" s="11">
        <v>2</v>
      </c>
      <c r="B5" s="11">
        <v>44</v>
      </c>
      <c r="C5" s="11">
        <v>2</v>
      </c>
      <c r="D5" s="11">
        <v>2</v>
      </c>
      <c r="E5" s="11">
        <v>1</v>
      </c>
      <c r="F5" s="11">
        <v>3</v>
      </c>
      <c r="G5" s="11">
        <f>Table5[[#This Row],[rel]]-(Table5[[#This Row],[yr2rec]]+Table5[[#This Row],[yr1rec]]+Table5[[#This Row],[yr3rec]]+Table5[[#This Row],[yr4rec]])</f>
        <v>36</v>
      </c>
    </row>
    <row r="6" spans="1:7" x14ac:dyDescent="0.2">
      <c r="A6" s="10">
        <v>2</v>
      </c>
      <c r="B6" s="10">
        <v>12</v>
      </c>
      <c r="C6" s="10">
        <v>0</v>
      </c>
      <c r="D6" s="10">
        <v>1</v>
      </c>
      <c r="E6" s="10">
        <v>1</v>
      </c>
      <c r="F6" s="10">
        <v>1</v>
      </c>
      <c r="G6" s="10">
        <f>Table5[[#This Row],[rel]]-(Table5[[#This Row],[yr2rec]]+Table5[[#This Row],[yr1rec]]+Table5[[#This Row],[yr3rec]]+Table5[[#This Row],[yr4rec]])</f>
        <v>9</v>
      </c>
    </row>
    <row r="7" spans="1:7" x14ac:dyDescent="0.2">
      <c r="A7" s="11">
        <v>2</v>
      </c>
      <c r="B7" s="11">
        <v>63</v>
      </c>
      <c r="C7" s="11">
        <v>0</v>
      </c>
      <c r="D7" s="11">
        <v>5</v>
      </c>
      <c r="E7" s="11">
        <v>3</v>
      </c>
      <c r="F7" s="11">
        <v>2</v>
      </c>
      <c r="G7" s="11">
        <f>Table5[[#This Row],[rel]]-(Table5[[#This Row],[yr2rec]]+Table5[[#This Row],[yr1rec]]+Table5[[#This Row],[yr3rec]]+Table5[[#This Row],[yr4rec]])</f>
        <v>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9AF6-2BF7-F149-B5BB-7330E1D2753C}">
  <dimension ref="A1:F11"/>
  <sheetViews>
    <sheetView workbookViewId="0">
      <selection activeCell="J12" sqref="J12"/>
    </sheetView>
  </sheetViews>
  <sheetFormatPr baseColWidth="10" defaultRowHeight="16" x14ac:dyDescent="0.2"/>
  <sheetData>
    <row r="1" spans="1:6" x14ac:dyDescent="0.2">
      <c r="A1" s="12" t="s">
        <v>58</v>
      </c>
      <c r="B1" s="12" t="s">
        <v>55</v>
      </c>
      <c r="C1" s="12" t="s">
        <v>59</v>
      </c>
      <c r="D1" s="12" t="s">
        <v>60</v>
      </c>
      <c r="E1" s="12" t="s">
        <v>66</v>
      </c>
      <c r="F1" s="12" t="s">
        <v>61</v>
      </c>
    </row>
    <row r="2" spans="1:6" x14ac:dyDescent="0.2">
      <c r="A2" s="10">
        <v>1</v>
      </c>
      <c r="B2" s="10">
        <v>47</v>
      </c>
      <c r="C2" s="10">
        <v>0</v>
      </c>
      <c r="D2" s="10">
        <v>2</v>
      </c>
      <c r="E2" s="10">
        <v>0</v>
      </c>
      <c r="F2" s="10">
        <v>45</v>
      </c>
    </row>
    <row r="3" spans="1:6" x14ac:dyDescent="0.2">
      <c r="A3" s="11">
        <v>1</v>
      </c>
      <c r="B3" s="11">
        <v>11</v>
      </c>
      <c r="C3" s="11">
        <v>0</v>
      </c>
      <c r="D3" s="11">
        <v>0</v>
      </c>
      <c r="E3" s="11">
        <v>0</v>
      </c>
      <c r="F3" s="11">
        <v>11</v>
      </c>
    </row>
    <row r="4" spans="1:6" x14ac:dyDescent="0.2">
      <c r="A4" s="10">
        <v>1</v>
      </c>
      <c r="B4" s="10">
        <v>59</v>
      </c>
      <c r="C4" s="10">
        <v>0</v>
      </c>
      <c r="D4" s="10">
        <v>5</v>
      </c>
      <c r="E4" s="10">
        <v>1</v>
      </c>
      <c r="F4" s="10">
        <v>53</v>
      </c>
    </row>
    <row r="5" spans="1:6" x14ac:dyDescent="0.2">
      <c r="A5" s="10">
        <v>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</row>
    <row r="6" spans="1:6" x14ac:dyDescent="0.2">
      <c r="A6" s="10">
        <v>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</row>
    <row r="7" spans="1:6" x14ac:dyDescent="0.2">
      <c r="A7" s="11">
        <v>2</v>
      </c>
      <c r="B7" s="11">
        <v>44</v>
      </c>
      <c r="C7" s="11">
        <v>2</v>
      </c>
      <c r="D7" s="11">
        <v>2</v>
      </c>
      <c r="E7" s="11">
        <v>1</v>
      </c>
      <c r="F7" s="11">
        <v>39</v>
      </c>
    </row>
    <row r="8" spans="1:6" x14ac:dyDescent="0.2">
      <c r="A8" s="10">
        <v>2</v>
      </c>
      <c r="B8" s="10">
        <v>12</v>
      </c>
      <c r="C8" s="10">
        <v>0</v>
      </c>
      <c r="D8" s="10">
        <v>1</v>
      </c>
      <c r="E8" s="10">
        <v>1</v>
      </c>
      <c r="F8" s="10">
        <v>10</v>
      </c>
    </row>
    <row r="9" spans="1:6" x14ac:dyDescent="0.2">
      <c r="A9" s="11">
        <v>2</v>
      </c>
      <c r="B9" s="11">
        <v>63</v>
      </c>
      <c r="C9" s="11">
        <v>0</v>
      </c>
      <c r="D9" s="11">
        <v>5</v>
      </c>
      <c r="E9" s="11">
        <v>2</v>
      </c>
      <c r="F9" s="11">
        <v>56</v>
      </c>
    </row>
    <row r="10" spans="1:6" x14ac:dyDescent="0.2">
      <c r="A10" s="11">
        <v>2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</row>
    <row r="11" spans="1:6" x14ac:dyDescent="0.2">
      <c r="A11" s="11">
        <v>2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expectedrecs</vt:lpstr>
      <vt:lpstr>carp_data</vt:lpstr>
      <vt:lpstr>Sheet2</vt:lpstr>
      <vt:lpstr>m_array_carp</vt:lpstr>
      <vt:lpstr>m_array_carp_new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Hirsch</dc:creator>
  <cp:lastModifiedBy>Elizabeth Hirsch</cp:lastModifiedBy>
  <dcterms:created xsi:type="dcterms:W3CDTF">2024-02-27T23:25:13Z</dcterms:created>
  <dcterms:modified xsi:type="dcterms:W3CDTF">2025-06-26T20:14:01Z</dcterms:modified>
</cp:coreProperties>
</file>