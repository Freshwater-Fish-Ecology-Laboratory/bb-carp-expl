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h/bb-tag-rec-2/carp_lk/data/raw/"/>
    </mc:Choice>
  </mc:AlternateContent>
  <xr:revisionPtr revIDLastSave="0" documentId="13_ncr:1_{48387200-14D2-4147-99A9-2446648004EF}" xr6:coauthVersionLast="47" xr6:coauthVersionMax="47" xr10:uidLastSave="{00000000-0000-0000-0000-000000000000}"/>
  <bookViews>
    <workbookView xWindow="920" yWindow="500" windowWidth="20740" windowHeight="17500" activeTab="2" xr2:uid="{0098483B-0A86-A343-9F4A-5B3D7EDE60CD}"/>
  </bookViews>
  <sheets>
    <sheet name="tr_annual" sheetId="1" r:id="rId1"/>
    <sheet name="tr_biannual" sheetId="3" r:id="rId2"/>
    <sheet name="tr_monthly" sheetId="5" r:id="rId3"/>
    <sheet name="Sheet2" sheetId="2" r:id="rId4"/>
    <sheet name="Sheet4" sheetId="4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7" i="4" l="1"/>
  <c r="C12" i="4"/>
  <c r="C11" i="4"/>
  <c r="C9" i="4"/>
  <c r="C8" i="4"/>
  <c r="C6" i="4"/>
  <c r="C5" i="4"/>
  <c r="C11" i="2"/>
  <c r="C8" i="2"/>
  <c r="C5" i="2"/>
  <c r="A15" i="4"/>
</calcChain>
</file>

<file path=xl/sharedStrings.xml><?xml version="1.0" encoding="utf-8"?>
<sst xmlns="http://schemas.openxmlformats.org/spreadsheetml/2006/main" count="126" uniqueCount="55">
  <si>
    <t>floy_id</t>
  </si>
  <si>
    <t>spr22</t>
  </si>
  <si>
    <t>fall22</t>
  </si>
  <si>
    <t>spr23</t>
  </si>
  <si>
    <t>reported</t>
  </si>
  <si>
    <t>creel</t>
  </si>
  <si>
    <t>recovered 23</t>
  </si>
  <si>
    <t>recovered 22</t>
  </si>
  <si>
    <t>no.tagged</t>
  </si>
  <si>
    <t>season tagged</t>
  </si>
  <si>
    <t>2022</t>
  </si>
  <si>
    <t>2023</t>
  </si>
  <si>
    <t>2024</t>
  </si>
  <si>
    <t>released</t>
  </si>
  <si>
    <t>harvested later in 2022</t>
  </si>
  <si>
    <t>comment</t>
  </si>
  <si>
    <t>tag_type</t>
  </si>
  <si>
    <t>reward</t>
  </si>
  <si>
    <t>standard</t>
  </si>
  <si>
    <t>reward tag return rate 2022</t>
  </si>
  <si>
    <t>reward tag return rate 2023</t>
  </si>
  <si>
    <t>tags at large</t>
  </si>
  <si>
    <t>fall23</t>
  </si>
  <si>
    <t>NA</t>
  </si>
  <si>
    <t>recovered 22 summer</t>
  </si>
  <si>
    <t>recovered 23 summer</t>
  </si>
  <si>
    <t>recovery mode</t>
  </si>
  <si>
    <t>2022_s</t>
  </si>
  <si>
    <t>2022_f</t>
  </si>
  <si>
    <t>2023_s</t>
  </si>
  <si>
    <t>2023_f</t>
  </si>
  <si>
    <t>harvested in summer 2022</t>
  </si>
  <si>
    <t>caught summer 2023 but released</t>
  </si>
  <si>
    <t>harvested summer 2023</t>
  </si>
  <si>
    <t>caught 2022 released</t>
  </si>
  <si>
    <t>2022_may</t>
  </si>
  <si>
    <t>2022_june</t>
  </si>
  <si>
    <t>2022_jul</t>
  </si>
  <si>
    <t>2022_aug</t>
  </si>
  <si>
    <t>2022_sep</t>
  </si>
  <si>
    <t>2023_may</t>
  </si>
  <si>
    <t>2023_jun</t>
  </si>
  <si>
    <t>2023_jul</t>
  </si>
  <si>
    <t>2023_aug</t>
  </si>
  <si>
    <t>2023_sep</t>
  </si>
  <si>
    <t>23oct_24apr</t>
  </si>
  <si>
    <t>22nov_23apr</t>
  </si>
  <si>
    <t>2022_oct</t>
  </si>
  <si>
    <t>harvested in june 2022 but after tagging (by angler)</t>
  </si>
  <si>
    <t xml:space="preserve">released </t>
  </si>
  <si>
    <t>recaptured and released all within May 2023</t>
  </si>
  <si>
    <t>recaptured and released all within June 2023</t>
  </si>
  <si>
    <t>harvested in june 2023 a few days post-release</t>
  </si>
  <si>
    <t>harvested in june 2023 3 weeks post-release</t>
  </si>
  <si>
    <t>harvested in june 2023 1 week post-release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</si>
</sst>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theme="7" tint="0.39997558519241921"/>
      </left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  <border>
      <left/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3" borderId="7" xfId="0" applyFill="1" applyBorder="1"/>
    <xf numFmtId="0" fontId="0" fillId="3" borderId="3" xfId="0" applyFill="1" applyBorder="1"/>
    <xf numFmtId="0" fontId="0" fillId="3" borderId="8" xfId="0" applyFill="1" applyBorder="1"/>
    <xf numFmtId="0" fontId="0" fillId="0" borderId="7" xfId="0" applyBorder="1"/>
    <xf numFmtId="0" fontId="0" fillId="0" borderId="3" xfId="0" applyBorder="1"/>
    <xf numFmtId="0" fontId="0" fillId="0" borderId="8" xfId="0" applyBorder="1"/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0" fillId="0" borderId="11" xfId="0" applyBorder="1"/>
    <xf numFmtId="0" fontId="0" fillId="0" borderId="9" xfId="0" applyBorder="1"/>
    <xf numFmtId="0" fontId="1" fillId="2" borderId="2" xfId="0" applyFont="1" applyFill="1" applyBorder="1"/>
    <xf numFmtId="0" fontId="0" fillId="0" borderId="2" xfId="0" applyFont="1" applyBorder="1"/>
    <xf numFmtId="0" fontId="0" fillId="5" borderId="1" xfId="0" applyFill="1" applyBorder="1"/>
    <xf numFmtId="0" fontId="0" fillId="5" borderId="0" xfId="0" applyFill="1"/>
    <xf numFmtId="0" fontId="0" fillId="0" borderId="10" xfId="0" applyBorder="1"/>
    <xf numFmtId="0" fontId="0" fillId="5" borderId="8" xfId="0" applyFill="1" applyBorder="1"/>
    <xf numFmtId="0" fontId="0" fillId="0" borderId="3" xfId="0" applyFill="1" applyBorder="1"/>
    <xf numFmtId="0" fontId="0" fillId="5" borderId="3" xfId="0" applyFill="1" applyBorder="1"/>
    <xf numFmtId="0" fontId="0" fillId="6" borderId="0" xfId="0" applyFill="1"/>
  </cellXfs>
  <cellStyles count="1">
    <cellStyle name="Normal" xfId="0" builtinId="0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/>
        <right style="thin">
          <color theme="7" tint="0.39997558519241921"/>
        </right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border outline="0">
        <left style="thin">
          <color theme="7" tint="0.39997558519241921"/>
        </left>
      </border>
    </dxf>
    <dxf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/>
        <horizontal/>
      </border>
    </dxf>
    <dxf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  <vertical/>
        <horizontal/>
      </border>
    </dxf>
    <dxf>
      <border diagonalUp="0" diagonalDown="0">
        <left style="thin">
          <color theme="1" tint="0.499984740745262"/>
        </left>
        <right/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border diagonalUp="0" diagonalDown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border>
        <top style="thin">
          <color theme="1" tint="0.499984740745262"/>
        </top>
      </border>
    </dxf>
    <dxf>
      <border>
        <bottom style="thin">
          <color theme="1" tint="0.499984740745262"/>
        </bottom>
      </border>
    </dxf>
    <dxf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ill>
        <patternFill patternType="solid">
          <fgColor indexed="64"/>
          <bgColor theme="0" tint="-0.34998626667073579"/>
        </patternFill>
      </fill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/>
        <right style="thin">
          <color theme="7" tint="0.39997558519241921"/>
        </right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border outline="0">
        <left style="thin">
          <color theme="7" tint="0.39997558519241921"/>
        </left>
      </border>
    </dxf>
    <dxf>
      <fill>
        <patternFill patternType="solid">
          <fgColor indexed="64"/>
          <bgColor theme="0" tint="-0.34998626667073579"/>
        </patternFill>
      </fill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border diagonalUp="0" diagonalDown="0">
        <left style="thin">
          <color theme="1" tint="0.499984740745262"/>
        </left>
        <right/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border diagonalUp="0" diagonalDown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border>
        <top style="thin">
          <color theme="1" tint="0.499984740745262"/>
        </top>
      </border>
    </dxf>
    <dxf>
      <border>
        <bottom style="thin">
          <color theme="1" tint="0.499984740745262"/>
        </bottom>
      </border>
    </dxf>
    <dxf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 diagonalUp="0" diagonalDown="0">
        <left style="thin">
          <color theme="7" tint="0.39997558519241921"/>
        </left>
        <right style="thin">
          <color theme="7" tint="0.39997558519241921"/>
        </right>
        <top style="thin">
          <color theme="7" tint="0.39997558519241921"/>
        </top>
        <bottom style="thin">
          <color theme="7" tint="0.39997558519241921"/>
        </bottom>
        <vertical style="thin">
          <color theme="7" tint="0.39997558519241921"/>
        </vertical>
        <horizontal style="thin">
          <color theme="7" tint="0.39997558519241921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7D4BE4-56C7-8840-903B-03D44E6C2202}" name="Table1" displayName="Table1" ref="A1:E237" totalsRowShown="0">
  <autoFilter ref="A1:E237" xr:uid="{F77D4BE4-56C7-8840-903B-03D44E6C2202}"/>
  <sortState xmlns:xlrd2="http://schemas.microsoft.com/office/spreadsheetml/2017/richdata2" ref="A2:D237">
    <sortCondition ref="A1:A237"/>
  </sortState>
  <tableColumns count="5">
    <tableColumn id="1" xr3:uid="{309175A9-5884-C64C-A7DD-165AE80C09D0}" name="floy_id" dataDxfId="24"/>
    <tableColumn id="2" xr3:uid="{94709920-272D-8742-8BEA-63AC94F44ED7}" name="2022"/>
    <tableColumn id="3" xr3:uid="{5F0CFCA7-5D3F-A249-8791-B3BF3CC49F26}" name="2023"/>
    <tableColumn id="4" xr3:uid="{AEC3ED84-B1EF-DB47-A3D1-661722797BBF}" name="2024"/>
    <tableColumn id="6" xr3:uid="{0C1511B6-5233-F84F-9CE6-C27374BE3122}" name="comment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F528367-4E96-0E41-96F1-A10FAD5B0A62}" name="Table3" displayName="Table3" ref="A1:F237" totalsRowShown="0" tableBorderDxfId="14">
  <autoFilter ref="A1:F237" xr:uid="{AF528367-4E96-0E41-96F1-A10FAD5B0A62}"/>
  <sortState xmlns:xlrd2="http://schemas.microsoft.com/office/spreadsheetml/2017/richdata2" ref="A2:F237">
    <sortCondition ref="A1:A237"/>
  </sortState>
  <tableColumns count="6">
    <tableColumn id="1" xr3:uid="{D7D9449A-A867-0143-A76D-9464CCD1BE92}" name="floy_id" dataDxfId="13"/>
    <tableColumn id="2" xr3:uid="{B8140F03-5FD9-3241-9469-F6A8E49DD529}" name="2022_s"/>
    <tableColumn id="3" xr3:uid="{49B9D39B-19C2-6D46-A0C3-03E7C8DD1F32}" name="2022_f"/>
    <tableColumn id="4" xr3:uid="{E96BE599-C41B-B449-B44D-4D08FBF3C510}" name="2023_s"/>
    <tableColumn id="5" xr3:uid="{A3A5A783-E9A8-2642-A1F0-4A5950E4D00A}" name="2023_f"/>
    <tableColumn id="6" xr3:uid="{9E39EB4C-F97A-5B4B-BBD3-E0039BADF30D}" name="comment"/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7E60E4B-D575-A64A-AB1E-E140FC6D718E}" name="Table5" displayName="Table5" ref="A1:O237" totalsRowShown="0" tableBorderDxfId="1">
  <autoFilter ref="A1:O237" xr:uid="{A7E60E4B-D575-A64A-AB1E-E140FC6D718E}"/>
  <tableColumns count="15">
    <tableColumn id="1" xr3:uid="{3AC874BA-E4E5-D345-B748-F2F8B0435C2A}" name="floy_id" dataDxfId="0"/>
    <tableColumn id="2" xr3:uid="{52A3B2FB-3B6A-704F-B43D-9471DCA83290}" name="2022_may"/>
    <tableColumn id="3" xr3:uid="{DE8E63D6-1B72-C04A-8D1C-114C975FD4E3}" name="2022_june"/>
    <tableColumn id="4" xr3:uid="{9920C278-70DB-ED4A-8189-44A3AECABD5F}" name="2022_jul"/>
    <tableColumn id="5" xr3:uid="{009A9F1E-F3CE-BC4F-9552-984503D82B5C}" name="2022_aug"/>
    <tableColumn id="6" xr3:uid="{00E85795-9DCC-1B40-9F03-180A7E44BED2}" name="2022_sep"/>
    <tableColumn id="7" xr3:uid="{B2769CBB-FA63-1E40-9881-9DB515F2514F}" name="2022_oct"/>
    <tableColumn id="14" xr3:uid="{C4B408AF-7ED8-C04D-9BE4-3D9B911A873B}" name="22nov_23apr"/>
    <tableColumn id="8" xr3:uid="{1D9660CD-B556-0F44-8903-C87D332CF020}" name="2023_may"/>
    <tableColumn id="9" xr3:uid="{5EDC35E8-32F2-3A48-9531-2F53ECDB7EAA}" name="2023_jun"/>
    <tableColumn id="10" xr3:uid="{1CD97262-9120-EE40-B78A-E96D997C2616}" name="2023_jul"/>
    <tableColumn id="11" xr3:uid="{70306D8C-0741-4144-9367-159561527282}" name="2023_aug"/>
    <tableColumn id="12" xr3:uid="{47A08D8F-4C8F-5B4C-9508-140CC87BB864}" name="2023_sep"/>
    <tableColumn id="13" xr3:uid="{F0085C31-EFC4-D640-843B-F653716C37A0}" name="23oct_24apr"/>
    <tableColumn id="15" xr3:uid="{2C4B71E7-5C5A-194B-A363-E3690138B11E}" name="comment"/>
  </tableColumns>
  <tableStyleInfo name="TableStyleLight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3E3DF9-642B-7045-AC5C-D92AF51A5299}" name="Table2" displayName="Table2" ref="A1:F12" totalsRowShown="0" headerRowDxfId="15" headerRowBorderDxfId="22" tableBorderDxfId="23" totalsRowBorderDxfId="21">
  <autoFilter ref="A1:F12" xr:uid="{C53E3DF9-642B-7045-AC5C-D92AF51A5299}"/>
  <tableColumns count="6">
    <tableColumn id="1" xr3:uid="{5467050A-DDD8-0644-A796-7C8BF713FB22}" name="season tagged" dataDxfId="20"/>
    <tableColumn id="2" xr3:uid="{3B04497D-BBE5-FA4B-9D24-0229A159DBFA}" name="no.tagged" dataDxfId="19"/>
    <tableColumn id="6" xr3:uid="{508D7138-3CA2-5740-B192-8B824E5295FF}" name="tags at large" dataDxfId="3"/>
    <tableColumn id="3" xr3:uid="{D30CD982-2ADA-744B-A79E-404C70385F33}" name="recovered 22 summer" dataDxfId="18"/>
    <tableColumn id="4" xr3:uid="{37BE7961-F833-614A-9F60-091E309CB58A}" name="recovered 23 summer" dataDxfId="17"/>
    <tableColumn id="5" xr3:uid="{ADF689E5-6CBD-5848-97C7-34D854CFF4B9}" name="recovery mode" dataDxfId="16"/>
  </tableColumns>
  <tableStyleInfo name="TableStyleLight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BE86B0F-2769-744E-9EC9-710D1B31E7ED}" name="Table25" displayName="Table25" ref="A1:F12" totalsRowShown="0" headerRowDxfId="12" headerRowBorderDxfId="10" tableBorderDxfId="11" totalsRowBorderDxfId="9">
  <autoFilter ref="A1:F12" xr:uid="{ABE86B0F-2769-744E-9EC9-710D1B31E7ED}"/>
  <tableColumns count="6">
    <tableColumn id="1" xr3:uid="{05BA19C6-B0DC-CE48-AB4B-1DF6AEB9CAA8}" name="season tagged" dataDxfId="8"/>
    <tableColumn id="2" xr3:uid="{438F365C-131C-0F46-BDCA-00842E89321C}" name="no.tagged" dataDxfId="7"/>
    <tableColumn id="6" xr3:uid="{3C36E3D4-C852-7D4F-9955-D1326A26874C}" name="tags at large" dataDxfId="2"/>
    <tableColumn id="3" xr3:uid="{DEB874EA-7E50-C442-93DA-3657CFA6817E}" name="recovered 22" dataDxfId="6"/>
    <tableColumn id="4" xr3:uid="{DBFFBBC7-EB33-7045-A869-3C6C9C3494E5}" name="recovered 23" dataDxfId="5"/>
    <tableColumn id="5" xr3:uid="{37D80B57-262B-694C-985B-D18047859728}" name="tag_type" dataDxfId="4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E6244-810F-EB46-A3E1-B4EE98D36705}">
  <dimension ref="A1:E237"/>
  <sheetViews>
    <sheetView workbookViewId="0">
      <selection activeCell="E19" sqref="E19"/>
    </sheetView>
  </sheetViews>
  <sheetFormatPr baseColWidth="10" defaultRowHeight="16" x14ac:dyDescent="0.2"/>
  <cols>
    <col min="2" max="4" width="11.6640625" customWidth="1"/>
  </cols>
  <sheetData>
    <row r="1" spans="1:5" x14ac:dyDescent="0.2">
      <c r="A1" s="1" t="s">
        <v>0</v>
      </c>
      <c r="B1" t="s">
        <v>10</v>
      </c>
      <c r="C1" t="s">
        <v>11</v>
      </c>
      <c r="D1" t="s">
        <v>12</v>
      </c>
      <c r="E1" t="s">
        <v>15</v>
      </c>
    </row>
    <row r="2" spans="1:5" x14ac:dyDescent="0.2">
      <c r="A2" s="1">
        <v>7034</v>
      </c>
      <c r="B2">
        <v>1</v>
      </c>
      <c r="C2">
        <v>0</v>
      </c>
    </row>
    <row r="3" spans="1:5" x14ac:dyDescent="0.2">
      <c r="A3" s="1">
        <v>7036</v>
      </c>
      <c r="B3">
        <v>1</v>
      </c>
      <c r="C3">
        <v>0</v>
      </c>
    </row>
    <row r="4" spans="1:5" x14ac:dyDescent="0.2">
      <c r="A4" s="1">
        <v>7037</v>
      </c>
      <c r="B4">
        <v>1</v>
      </c>
      <c r="C4">
        <v>0</v>
      </c>
    </row>
    <row r="5" spans="1:5" x14ac:dyDescent="0.2">
      <c r="A5" s="1">
        <v>7038</v>
      </c>
      <c r="B5">
        <v>1</v>
      </c>
      <c r="C5">
        <v>0</v>
      </c>
    </row>
    <row r="6" spans="1:5" x14ac:dyDescent="0.2">
      <c r="A6" s="1">
        <v>7040</v>
      </c>
      <c r="B6">
        <v>1</v>
      </c>
      <c r="C6">
        <v>0</v>
      </c>
    </row>
    <row r="7" spans="1:5" x14ac:dyDescent="0.2">
      <c r="A7" s="1">
        <v>7041</v>
      </c>
      <c r="B7">
        <v>1</v>
      </c>
      <c r="C7">
        <v>0</v>
      </c>
    </row>
    <row r="8" spans="1:5" x14ac:dyDescent="0.2">
      <c r="A8" s="1">
        <v>7042</v>
      </c>
      <c r="B8">
        <v>1</v>
      </c>
      <c r="C8">
        <v>0</v>
      </c>
    </row>
    <row r="9" spans="1:5" x14ac:dyDescent="0.2">
      <c r="A9" s="18">
        <v>7043</v>
      </c>
      <c r="B9" s="19">
        <v>1</v>
      </c>
      <c r="C9" s="19">
        <v>0</v>
      </c>
      <c r="D9" s="19">
        <v>0</v>
      </c>
      <c r="E9" t="s">
        <v>14</v>
      </c>
    </row>
    <row r="10" spans="1:5" x14ac:dyDescent="0.2">
      <c r="A10" s="18">
        <v>7044</v>
      </c>
      <c r="B10" s="19">
        <v>1</v>
      </c>
      <c r="C10" s="19">
        <v>1</v>
      </c>
      <c r="D10" s="19"/>
      <c r="E10" t="s">
        <v>13</v>
      </c>
    </row>
    <row r="11" spans="1:5" x14ac:dyDescent="0.2">
      <c r="A11" s="1">
        <v>7045</v>
      </c>
      <c r="B11">
        <v>1</v>
      </c>
      <c r="C11">
        <v>0</v>
      </c>
    </row>
    <row r="12" spans="1:5" x14ac:dyDescent="0.2">
      <c r="A12" s="1">
        <v>7046</v>
      </c>
      <c r="B12">
        <v>1</v>
      </c>
      <c r="C12">
        <v>0</v>
      </c>
    </row>
    <row r="13" spans="1:5" x14ac:dyDescent="0.2">
      <c r="A13" s="1">
        <v>7047</v>
      </c>
      <c r="B13">
        <v>1</v>
      </c>
      <c r="C13">
        <v>0</v>
      </c>
    </row>
    <row r="14" spans="1:5" x14ac:dyDescent="0.2">
      <c r="A14" s="1">
        <v>7048</v>
      </c>
      <c r="B14">
        <v>1</v>
      </c>
      <c r="C14">
        <v>0</v>
      </c>
    </row>
    <row r="15" spans="1:5" x14ac:dyDescent="0.2">
      <c r="A15" s="1">
        <v>7049</v>
      </c>
      <c r="B15">
        <v>1</v>
      </c>
      <c r="C15">
        <v>0</v>
      </c>
    </row>
    <row r="16" spans="1:5" x14ac:dyDescent="0.2">
      <c r="A16" s="1">
        <v>7050</v>
      </c>
      <c r="B16">
        <v>1</v>
      </c>
      <c r="C16">
        <v>0</v>
      </c>
    </row>
    <row r="17" spans="1:4" x14ac:dyDescent="0.2">
      <c r="A17" s="1">
        <v>7051</v>
      </c>
      <c r="B17">
        <v>1</v>
      </c>
      <c r="C17">
        <v>0</v>
      </c>
    </row>
    <row r="18" spans="1:4" x14ac:dyDescent="0.2">
      <c r="A18" s="1">
        <v>7052</v>
      </c>
      <c r="B18">
        <v>1</v>
      </c>
      <c r="C18">
        <v>1</v>
      </c>
      <c r="D18">
        <v>0</v>
      </c>
    </row>
    <row r="19" spans="1:4" x14ac:dyDescent="0.2">
      <c r="A19" s="1">
        <v>7053</v>
      </c>
      <c r="B19">
        <v>1</v>
      </c>
      <c r="C19">
        <v>0</v>
      </c>
    </row>
    <row r="20" spans="1:4" x14ac:dyDescent="0.2">
      <c r="A20" s="1">
        <v>7055</v>
      </c>
      <c r="B20">
        <v>1</v>
      </c>
      <c r="C20">
        <v>0</v>
      </c>
    </row>
    <row r="21" spans="1:4" x14ac:dyDescent="0.2">
      <c r="A21" s="1">
        <v>7194</v>
      </c>
      <c r="B21">
        <v>1</v>
      </c>
      <c r="C21">
        <v>0</v>
      </c>
    </row>
    <row r="22" spans="1:4" x14ac:dyDescent="0.2">
      <c r="A22" s="1">
        <v>7195</v>
      </c>
      <c r="B22">
        <v>1</v>
      </c>
      <c r="C22">
        <v>0</v>
      </c>
    </row>
    <row r="23" spans="1:4" x14ac:dyDescent="0.2">
      <c r="A23" s="1">
        <v>7196</v>
      </c>
      <c r="B23">
        <v>1</v>
      </c>
      <c r="C23">
        <v>0</v>
      </c>
    </row>
    <row r="24" spans="1:4" x14ac:dyDescent="0.2">
      <c r="A24" s="1">
        <v>7197</v>
      </c>
      <c r="B24">
        <v>1</v>
      </c>
      <c r="C24">
        <v>0</v>
      </c>
    </row>
    <row r="25" spans="1:4" x14ac:dyDescent="0.2">
      <c r="A25" s="1">
        <v>7199</v>
      </c>
      <c r="B25">
        <v>1</v>
      </c>
      <c r="C25">
        <v>0</v>
      </c>
    </row>
    <row r="26" spans="1:4" x14ac:dyDescent="0.2">
      <c r="A26" s="1">
        <v>7200</v>
      </c>
      <c r="B26">
        <v>1</v>
      </c>
      <c r="C26">
        <v>0</v>
      </c>
    </row>
    <row r="27" spans="1:4" x14ac:dyDescent="0.2">
      <c r="A27" s="1">
        <v>7201</v>
      </c>
      <c r="B27">
        <v>1</v>
      </c>
      <c r="C27">
        <v>0</v>
      </c>
    </row>
    <row r="28" spans="1:4" x14ac:dyDescent="0.2">
      <c r="A28" s="1">
        <v>7202</v>
      </c>
      <c r="B28">
        <v>1</v>
      </c>
      <c r="C28">
        <v>0</v>
      </c>
    </row>
    <row r="29" spans="1:4" x14ac:dyDescent="0.2">
      <c r="A29" s="1">
        <v>7203</v>
      </c>
      <c r="B29">
        <v>1</v>
      </c>
      <c r="C29">
        <v>0</v>
      </c>
    </row>
    <row r="30" spans="1:4" x14ac:dyDescent="0.2">
      <c r="A30" s="1">
        <v>7205</v>
      </c>
      <c r="B30">
        <v>1</v>
      </c>
      <c r="C30">
        <v>0</v>
      </c>
    </row>
    <row r="31" spans="1:4" x14ac:dyDescent="0.2">
      <c r="A31" s="1">
        <v>7206</v>
      </c>
      <c r="B31">
        <v>1</v>
      </c>
      <c r="C31">
        <v>0</v>
      </c>
    </row>
    <row r="32" spans="1:4" x14ac:dyDescent="0.2">
      <c r="A32" s="1">
        <v>7262</v>
      </c>
      <c r="B32">
        <v>0</v>
      </c>
      <c r="C32">
        <v>0</v>
      </c>
    </row>
    <row r="33" spans="1:4" x14ac:dyDescent="0.2">
      <c r="A33" s="1">
        <v>7263</v>
      </c>
      <c r="B33">
        <v>0</v>
      </c>
      <c r="C33">
        <v>0</v>
      </c>
    </row>
    <row r="34" spans="1:4" x14ac:dyDescent="0.2">
      <c r="A34" s="1">
        <v>7265</v>
      </c>
      <c r="B34">
        <v>0</v>
      </c>
      <c r="C34">
        <v>0</v>
      </c>
    </row>
    <row r="35" spans="1:4" x14ac:dyDescent="0.2">
      <c r="A35" s="1">
        <v>7266</v>
      </c>
      <c r="B35">
        <v>0</v>
      </c>
      <c r="C35">
        <v>0</v>
      </c>
    </row>
    <row r="36" spans="1:4" x14ac:dyDescent="0.2">
      <c r="A36" s="1">
        <v>7267</v>
      </c>
      <c r="B36">
        <v>0</v>
      </c>
      <c r="C36">
        <v>0</v>
      </c>
    </row>
    <row r="37" spans="1:4" x14ac:dyDescent="0.2">
      <c r="A37" s="1">
        <v>7269</v>
      </c>
      <c r="B37">
        <v>0</v>
      </c>
      <c r="C37">
        <v>0</v>
      </c>
    </row>
    <row r="38" spans="1:4" x14ac:dyDescent="0.2">
      <c r="A38" s="1">
        <v>7271</v>
      </c>
      <c r="B38">
        <v>0</v>
      </c>
      <c r="C38">
        <v>0</v>
      </c>
    </row>
    <row r="39" spans="1:4" x14ac:dyDescent="0.2">
      <c r="A39" s="1">
        <v>7272</v>
      </c>
      <c r="B39">
        <v>0</v>
      </c>
      <c r="C39">
        <v>0</v>
      </c>
    </row>
    <row r="40" spans="1:4" x14ac:dyDescent="0.2">
      <c r="A40" s="1">
        <v>7273</v>
      </c>
      <c r="B40">
        <v>0</v>
      </c>
      <c r="C40">
        <v>0</v>
      </c>
    </row>
    <row r="41" spans="1:4" x14ac:dyDescent="0.2">
      <c r="A41" s="1">
        <v>7275</v>
      </c>
      <c r="B41">
        <v>0</v>
      </c>
      <c r="C41">
        <v>0</v>
      </c>
    </row>
    <row r="42" spans="1:4" x14ac:dyDescent="0.2">
      <c r="A42" s="1">
        <v>7276</v>
      </c>
      <c r="B42">
        <v>0</v>
      </c>
      <c r="C42">
        <v>0</v>
      </c>
    </row>
    <row r="43" spans="1:4" x14ac:dyDescent="0.2">
      <c r="A43" s="1">
        <v>7277</v>
      </c>
      <c r="B43">
        <v>0</v>
      </c>
      <c r="C43">
        <v>1</v>
      </c>
      <c r="D43">
        <v>0</v>
      </c>
    </row>
    <row r="44" spans="1:4" x14ac:dyDescent="0.2">
      <c r="A44" s="1">
        <v>7278</v>
      </c>
      <c r="B44">
        <v>0</v>
      </c>
      <c r="C44">
        <v>0</v>
      </c>
    </row>
    <row r="45" spans="1:4" x14ac:dyDescent="0.2">
      <c r="A45" s="1">
        <v>7279</v>
      </c>
      <c r="B45">
        <v>0</v>
      </c>
      <c r="C45">
        <v>0</v>
      </c>
    </row>
    <row r="46" spans="1:4" x14ac:dyDescent="0.2">
      <c r="A46" s="1">
        <v>7280</v>
      </c>
      <c r="B46">
        <v>0</v>
      </c>
      <c r="C46">
        <v>0</v>
      </c>
    </row>
    <row r="47" spans="1:4" x14ac:dyDescent="0.2">
      <c r="A47" s="1">
        <v>7281</v>
      </c>
      <c r="B47">
        <v>0</v>
      </c>
      <c r="C47">
        <v>0</v>
      </c>
    </row>
    <row r="48" spans="1:4" x14ac:dyDescent="0.2">
      <c r="A48" s="1">
        <v>7282</v>
      </c>
      <c r="B48">
        <v>0</v>
      </c>
      <c r="C48">
        <v>0</v>
      </c>
    </row>
    <row r="49" spans="1:5" x14ac:dyDescent="0.2">
      <c r="A49" s="1">
        <v>7283</v>
      </c>
      <c r="B49">
        <v>0</v>
      </c>
      <c r="C49">
        <v>0</v>
      </c>
    </row>
    <row r="50" spans="1:5" x14ac:dyDescent="0.2">
      <c r="A50" s="1">
        <v>7284</v>
      </c>
      <c r="B50">
        <v>0</v>
      </c>
      <c r="C50">
        <v>0</v>
      </c>
    </row>
    <row r="51" spans="1:5" x14ac:dyDescent="0.2">
      <c r="A51" s="1">
        <v>7285</v>
      </c>
      <c r="B51">
        <v>0</v>
      </c>
      <c r="C51">
        <v>0</v>
      </c>
    </row>
    <row r="52" spans="1:5" x14ac:dyDescent="0.2">
      <c r="A52" s="1">
        <v>7286</v>
      </c>
      <c r="B52">
        <v>0</v>
      </c>
      <c r="C52">
        <v>0</v>
      </c>
    </row>
    <row r="53" spans="1:5" x14ac:dyDescent="0.2">
      <c r="A53" s="1">
        <v>7287</v>
      </c>
      <c r="B53">
        <v>0</v>
      </c>
      <c r="C53">
        <v>0</v>
      </c>
    </row>
    <row r="54" spans="1:5" x14ac:dyDescent="0.2">
      <c r="A54" s="1">
        <v>7288</v>
      </c>
      <c r="B54">
        <v>0</v>
      </c>
      <c r="C54">
        <v>1</v>
      </c>
      <c r="D54">
        <v>0</v>
      </c>
    </row>
    <row r="55" spans="1:5" x14ac:dyDescent="0.2">
      <c r="A55" s="1">
        <v>7289</v>
      </c>
      <c r="B55">
        <v>0</v>
      </c>
      <c r="C55">
        <v>0</v>
      </c>
    </row>
    <row r="56" spans="1:5" x14ac:dyDescent="0.2">
      <c r="A56" s="1">
        <v>7311</v>
      </c>
      <c r="B56">
        <v>0</v>
      </c>
      <c r="C56">
        <v>0</v>
      </c>
    </row>
    <row r="57" spans="1:5" x14ac:dyDescent="0.2">
      <c r="A57" s="1">
        <v>7314</v>
      </c>
      <c r="B57">
        <v>0</v>
      </c>
      <c r="C57">
        <v>1</v>
      </c>
      <c r="E57" t="s">
        <v>13</v>
      </c>
    </row>
    <row r="58" spans="1:5" x14ac:dyDescent="0.2">
      <c r="A58" s="1">
        <v>7315</v>
      </c>
      <c r="B58">
        <v>0</v>
      </c>
      <c r="C58">
        <v>0</v>
      </c>
    </row>
    <row r="59" spans="1:5" x14ac:dyDescent="0.2">
      <c r="A59" s="1">
        <v>7316</v>
      </c>
      <c r="B59">
        <v>0</v>
      </c>
      <c r="C59">
        <v>0</v>
      </c>
    </row>
    <row r="60" spans="1:5" x14ac:dyDescent="0.2">
      <c r="A60" s="1">
        <v>7317</v>
      </c>
      <c r="B60">
        <v>0</v>
      </c>
      <c r="C60">
        <v>0</v>
      </c>
    </row>
    <row r="61" spans="1:5" x14ac:dyDescent="0.2">
      <c r="A61" s="1">
        <v>7319</v>
      </c>
      <c r="B61">
        <v>0</v>
      </c>
      <c r="C61">
        <v>0</v>
      </c>
    </row>
    <row r="62" spans="1:5" x14ac:dyDescent="0.2">
      <c r="A62" s="1">
        <v>7321</v>
      </c>
      <c r="B62">
        <v>0</v>
      </c>
      <c r="C62">
        <v>0</v>
      </c>
    </row>
    <row r="63" spans="1:5" x14ac:dyDescent="0.2">
      <c r="A63" s="1">
        <v>7322</v>
      </c>
      <c r="B63">
        <v>0</v>
      </c>
      <c r="C63">
        <v>0</v>
      </c>
    </row>
    <row r="64" spans="1:5" x14ac:dyDescent="0.2">
      <c r="A64" s="1">
        <v>7324</v>
      </c>
      <c r="B64">
        <v>0</v>
      </c>
      <c r="C64">
        <v>0</v>
      </c>
    </row>
    <row r="65" spans="1:4" x14ac:dyDescent="0.2">
      <c r="A65" s="1">
        <v>7325</v>
      </c>
      <c r="B65">
        <v>0</v>
      </c>
      <c r="C65">
        <v>0</v>
      </c>
    </row>
    <row r="66" spans="1:4" x14ac:dyDescent="0.2">
      <c r="A66" s="1">
        <v>7326</v>
      </c>
      <c r="B66">
        <v>0</v>
      </c>
      <c r="C66">
        <v>0</v>
      </c>
    </row>
    <row r="67" spans="1:4" x14ac:dyDescent="0.2">
      <c r="A67" s="1">
        <v>7327</v>
      </c>
      <c r="B67">
        <v>0</v>
      </c>
      <c r="C67">
        <v>0</v>
      </c>
    </row>
    <row r="68" spans="1:4" x14ac:dyDescent="0.2">
      <c r="A68" s="1">
        <v>7328</v>
      </c>
      <c r="B68">
        <v>0</v>
      </c>
      <c r="C68">
        <v>1</v>
      </c>
      <c r="D68">
        <v>0</v>
      </c>
    </row>
    <row r="69" spans="1:4" x14ac:dyDescent="0.2">
      <c r="A69" s="1">
        <v>7329</v>
      </c>
      <c r="B69">
        <v>0</v>
      </c>
      <c r="C69">
        <v>0</v>
      </c>
    </row>
    <row r="70" spans="1:4" x14ac:dyDescent="0.2">
      <c r="A70" s="1">
        <v>7330</v>
      </c>
      <c r="B70">
        <v>0</v>
      </c>
      <c r="C70">
        <v>0</v>
      </c>
    </row>
    <row r="71" spans="1:4" x14ac:dyDescent="0.2">
      <c r="A71" s="1">
        <v>7331</v>
      </c>
      <c r="B71">
        <v>0</v>
      </c>
      <c r="C71">
        <v>0</v>
      </c>
    </row>
    <row r="72" spans="1:4" x14ac:dyDescent="0.2">
      <c r="A72" s="1">
        <v>7332</v>
      </c>
      <c r="B72">
        <v>0</v>
      </c>
      <c r="C72">
        <v>0</v>
      </c>
    </row>
    <row r="73" spans="1:4" x14ac:dyDescent="0.2">
      <c r="A73" s="1">
        <v>7334</v>
      </c>
      <c r="B73">
        <v>0</v>
      </c>
      <c r="C73">
        <v>1</v>
      </c>
      <c r="D73">
        <v>0</v>
      </c>
    </row>
    <row r="74" spans="1:4" x14ac:dyDescent="0.2">
      <c r="A74" s="1">
        <v>7371</v>
      </c>
      <c r="B74">
        <v>1</v>
      </c>
      <c r="C74">
        <v>0</v>
      </c>
    </row>
    <row r="75" spans="1:4" x14ac:dyDescent="0.2">
      <c r="A75" s="1">
        <v>7372</v>
      </c>
      <c r="B75">
        <v>1</v>
      </c>
      <c r="C75">
        <v>1</v>
      </c>
      <c r="D75">
        <v>0</v>
      </c>
    </row>
    <row r="76" spans="1:4" x14ac:dyDescent="0.2">
      <c r="A76" s="1">
        <v>7373</v>
      </c>
      <c r="B76">
        <v>1</v>
      </c>
      <c r="C76">
        <v>0</v>
      </c>
    </row>
    <row r="77" spans="1:4" x14ac:dyDescent="0.2">
      <c r="A77" s="1">
        <v>7374</v>
      </c>
      <c r="B77">
        <v>1</v>
      </c>
      <c r="C77">
        <v>1</v>
      </c>
      <c r="D77">
        <v>0</v>
      </c>
    </row>
    <row r="78" spans="1:4" x14ac:dyDescent="0.2">
      <c r="A78" s="1">
        <v>7375</v>
      </c>
      <c r="B78">
        <v>1</v>
      </c>
      <c r="C78">
        <v>0</v>
      </c>
    </row>
    <row r="79" spans="1:4" x14ac:dyDescent="0.2">
      <c r="A79" s="1">
        <v>7376</v>
      </c>
      <c r="B79">
        <v>1</v>
      </c>
      <c r="C79">
        <v>1</v>
      </c>
      <c r="D79">
        <v>0</v>
      </c>
    </row>
    <row r="80" spans="1:4" x14ac:dyDescent="0.2">
      <c r="A80" s="1">
        <v>7377</v>
      </c>
      <c r="B80">
        <v>1</v>
      </c>
      <c r="C80">
        <v>0</v>
      </c>
    </row>
    <row r="81" spans="1:5" x14ac:dyDescent="0.2">
      <c r="A81" s="1">
        <v>7378</v>
      </c>
      <c r="B81">
        <v>1</v>
      </c>
      <c r="C81">
        <v>0</v>
      </c>
    </row>
    <row r="82" spans="1:5" x14ac:dyDescent="0.2">
      <c r="A82" s="1">
        <v>7379</v>
      </c>
      <c r="B82">
        <v>1</v>
      </c>
      <c r="C82">
        <v>0</v>
      </c>
    </row>
    <row r="83" spans="1:5" x14ac:dyDescent="0.2">
      <c r="A83" s="1">
        <v>7380</v>
      </c>
      <c r="B83">
        <v>1</v>
      </c>
      <c r="C83">
        <v>0</v>
      </c>
    </row>
    <row r="84" spans="1:5" x14ac:dyDescent="0.2">
      <c r="A84" s="18">
        <v>7381</v>
      </c>
      <c r="B84" s="19">
        <v>1</v>
      </c>
      <c r="C84" s="19">
        <v>0</v>
      </c>
      <c r="D84" s="19">
        <v>0</v>
      </c>
      <c r="E84" s="19" t="s">
        <v>14</v>
      </c>
    </row>
    <row r="85" spans="1:5" x14ac:dyDescent="0.2">
      <c r="A85" s="1">
        <v>7382</v>
      </c>
      <c r="B85">
        <v>1</v>
      </c>
      <c r="C85">
        <v>0</v>
      </c>
    </row>
    <row r="86" spans="1:5" x14ac:dyDescent="0.2">
      <c r="A86" s="1">
        <v>7383</v>
      </c>
      <c r="B86">
        <v>1</v>
      </c>
      <c r="C86">
        <v>0</v>
      </c>
    </row>
    <row r="87" spans="1:5" x14ac:dyDescent="0.2">
      <c r="A87" s="1">
        <v>7384</v>
      </c>
      <c r="B87">
        <v>1</v>
      </c>
      <c r="C87">
        <v>0</v>
      </c>
    </row>
    <row r="88" spans="1:5" x14ac:dyDescent="0.2">
      <c r="A88" s="1">
        <v>7385</v>
      </c>
      <c r="B88">
        <v>1</v>
      </c>
      <c r="C88">
        <v>1</v>
      </c>
    </row>
    <row r="89" spans="1:5" x14ac:dyDescent="0.2">
      <c r="A89" s="1">
        <v>7386</v>
      </c>
      <c r="B89">
        <v>1</v>
      </c>
      <c r="C89">
        <v>0</v>
      </c>
    </row>
    <row r="90" spans="1:5" x14ac:dyDescent="0.2">
      <c r="A90" s="1">
        <v>7387</v>
      </c>
      <c r="B90">
        <v>1</v>
      </c>
      <c r="C90">
        <v>0</v>
      </c>
    </row>
    <row r="91" spans="1:5" x14ac:dyDescent="0.2">
      <c r="A91" s="1">
        <v>7388</v>
      </c>
      <c r="B91">
        <v>1</v>
      </c>
      <c r="C91">
        <v>0</v>
      </c>
    </row>
    <row r="92" spans="1:5" x14ac:dyDescent="0.2">
      <c r="A92" s="1">
        <v>7389</v>
      </c>
      <c r="B92">
        <v>1</v>
      </c>
      <c r="C92">
        <v>0</v>
      </c>
    </row>
    <row r="93" spans="1:5" x14ac:dyDescent="0.2">
      <c r="A93" s="1">
        <v>7390</v>
      </c>
      <c r="B93">
        <v>1</v>
      </c>
      <c r="C93">
        <v>0</v>
      </c>
    </row>
    <row r="94" spans="1:5" x14ac:dyDescent="0.2">
      <c r="A94" s="1">
        <v>7391</v>
      </c>
      <c r="B94">
        <v>1</v>
      </c>
      <c r="C94">
        <v>0</v>
      </c>
    </row>
    <row r="95" spans="1:5" x14ac:dyDescent="0.2">
      <c r="A95" s="1">
        <v>7392</v>
      </c>
      <c r="B95">
        <v>1</v>
      </c>
      <c r="C95">
        <v>0</v>
      </c>
    </row>
    <row r="96" spans="1:5" x14ac:dyDescent="0.2">
      <c r="A96" s="1">
        <v>7393</v>
      </c>
      <c r="B96">
        <v>1</v>
      </c>
      <c r="C96">
        <v>0</v>
      </c>
    </row>
    <row r="97" spans="1:4" x14ac:dyDescent="0.2">
      <c r="A97" s="1">
        <v>7394</v>
      </c>
      <c r="B97">
        <v>1</v>
      </c>
      <c r="C97">
        <v>0</v>
      </c>
    </row>
    <row r="98" spans="1:4" x14ac:dyDescent="0.2">
      <c r="A98" s="1">
        <v>7396</v>
      </c>
      <c r="B98">
        <v>1</v>
      </c>
      <c r="C98">
        <v>0</v>
      </c>
    </row>
    <row r="99" spans="1:4" x14ac:dyDescent="0.2">
      <c r="A99" s="1">
        <v>7398</v>
      </c>
      <c r="B99">
        <v>1</v>
      </c>
      <c r="C99">
        <v>0</v>
      </c>
    </row>
    <row r="100" spans="1:4" x14ac:dyDescent="0.2">
      <c r="A100" s="1">
        <v>7400</v>
      </c>
      <c r="B100">
        <v>1</v>
      </c>
      <c r="C100">
        <v>0</v>
      </c>
    </row>
    <row r="101" spans="1:4" x14ac:dyDescent="0.2">
      <c r="A101" s="1">
        <v>7401</v>
      </c>
      <c r="B101">
        <v>1</v>
      </c>
      <c r="C101">
        <v>0</v>
      </c>
    </row>
    <row r="102" spans="1:4" x14ac:dyDescent="0.2">
      <c r="A102" s="1">
        <v>7402</v>
      </c>
      <c r="B102">
        <v>1</v>
      </c>
      <c r="C102">
        <v>0</v>
      </c>
    </row>
    <row r="103" spans="1:4" x14ac:dyDescent="0.2">
      <c r="A103" s="1">
        <v>7403</v>
      </c>
      <c r="B103">
        <v>1</v>
      </c>
      <c r="C103">
        <v>1</v>
      </c>
      <c r="D103">
        <v>0</v>
      </c>
    </row>
    <row r="104" spans="1:4" x14ac:dyDescent="0.2">
      <c r="A104" s="1">
        <v>7404</v>
      </c>
      <c r="B104">
        <v>1</v>
      </c>
      <c r="C104">
        <v>0</v>
      </c>
    </row>
    <row r="105" spans="1:4" x14ac:dyDescent="0.2">
      <c r="A105" s="1">
        <v>7405</v>
      </c>
      <c r="B105">
        <v>1</v>
      </c>
      <c r="C105">
        <v>0</v>
      </c>
    </row>
    <row r="106" spans="1:4" x14ac:dyDescent="0.2">
      <c r="A106" s="1">
        <v>7406</v>
      </c>
      <c r="B106">
        <v>1</v>
      </c>
      <c r="C106">
        <v>0</v>
      </c>
    </row>
    <row r="107" spans="1:4" x14ac:dyDescent="0.2">
      <c r="A107" s="1">
        <v>7407</v>
      </c>
      <c r="B107">
        <v>1</v>
      </c>
      <c r="C107">
        <v>0</v>
      </c>
    </row>
    <row r="108" spans="1:4" x14ac:dyDescent="0.2">
      <c r="A108" s="1">
        <v>7408</v>
      </c>
      <c r="B108">
        <v>1</v>
      </c>
      <c r="C108">
        <v>0</v>
      </c>
    </row>
    <row r="109" spans="1:4" x14ac:dyDescent="0.2">
      <c r="A109" s="1">
        <v>7409</v>
      </c>
      <c r="B109">
        <v>1</v>
      </c>
      <c r="C109">
        <v>0</v>
      </c>
    </row>
    <row r="110" spans="1:4" x14ac:dyDescent="0.2">
      <c r="A110" s="1">
        <v>7410</v>
      </c>
      <c r="B110">
        <v>1</v>
      </c>
      <c r="C110">
        <v>0</v>
      </c>
    </row>
    <row r="111" spans="1:4" x14ac:dyDescent="0.2">
      <c r="A111" s="1">
        <v>7413</v>
      </c>
      <c r="B111">
        <v>0</v>
      </c>
      <c r="C111">
        <v>0</v>
      </c>
    </row>
    <row r="112" spans="1:4" x14ac:dyDescent="0.2">
      <c r="A112" s="1">
        <v>7414</v>
      </c>
      <c r="B112">
        <v>0</v>
      </c>
      <c r="C112">
        <v>0</v>
      </c>
    </row>
    <row r="113" spans="1:5" x14ac:dyDescent="0.2">
      <c r="A113" s="1">
        <v>7415</v>
      </c>
      <c r="B113">
        <v>0</v>
      </c>
      <c r="C113">
        <v>0</v>
      </c>
    </row>
    <row r="114" spans="1:5" x14ac:dyDescent="0.2">
      <c r="A114" s="1">
        <v>7416</v>
      </c>
      <c r="B114">
        <v>0</v>
      </c>
      <c r="C114">
        <v>0</v>
      </c>
    </row>
    <row r="115" spans="1:5" x14ac:dyDescent="0.2">
      <c r="A115" s="1">
        <v>7417</v>
      </c>
      <c r="B115">
        <v>0</v>
      </c>
      <c r="C115">
        <v>0</v>
      </c>
    </row>
    <row r="116" spans="1:5" x14ac:dyDescent="0.2">
      <c r="A116" s="1">
        <v>7419</v>
      </c>
      <c r="B116">
        <v>0</v>
      </c>
      <c r="C116">
        <v>0</v>
      </c>
    </row>
    <row r="117" spans="1:5" x14ac:dyDescent="0.2">
      <c r="A117" s="18">
        <v>7421</v>
      </c>
      <c r="B117" s="19">
        <v>0</v>
      </c>
      <c r="C117" s="19">
        <v>1</v>
      </c>
      <c r="D117" s="19"/>
      <c r="E117" s="19" t="s">
        <v>13</v>
      </c>
    </row>
    <row r="118" spans="1:5" x14ac:dyDescent="0.2">
      <c r="A118" s="1">
        <v>7422</v>
      </c>
      <c r="B118">
        <v>0</v>
      </c>
      <c r="C118">
        <v>0</v>
      </c>
    </row>
    <row r="119" spans="1:5" x14ac:dyDescent="0.2">
      <c r="A119" s="1">
        <v>7423</v>
      </c>
      <c r="B119">
        <v>0</v>
      </c>
      <c r="C119">
        <v>0</v>
      </c>
    </row>
    <row r="120" spans="1:5" x14ac:dyDescent="0.2">
      <c r="A120" s="1">
        <v>7424</v>
      </c>
      <c r="B120">
        <v>0</v>
      </c>
      <c r="C120">
        <v>0</v>
      </c>
    </row>
    <row r="121" spans="1:5" x14ac:dyDescent="0.2">
      <c r="A121" s="1">
        <v>7425</v>
      </c>
      <c r="B121">
        <v>0</v>
      </c>
      <c r="C121">
        <v>0</v>
      </c>
    </row>
    <row r="122" spans="1:5" x14ac:dyDescent="0.2">
      <c r="A122" s="1">
        <v>7426</v>
      </c>
      <c r="B122">
        <v>0</v>
      </c>
      <c r="C122">
        <v>0</v>
      </c>
    </row>
    <row r="123" spans="1:5" x14ac:dyDescent="0.2">
      <c r="A123" s="1">
        <v>7426</v>
      </c>
      <c r="B123">
        <v>0</v>
      </c>
      <c r="C123">
        <v>0</v>
      </c>
    </row>
    <row r="124" spans="1:5" x14ac:dyDescent="0.2">
      <c r="A124" s="1">
        <v>7427</v>
      </c>
      <c r="B124">
        <v>0</v>
      </c>
      <c r="C124">
        <v>0</v>
      </c>
    </row>
    <row r="125" spans="1:5" x14ac:dyDescent="0.2">
      <c r="A125" s="18">
        <v>7428</v>
      </c>
      <c r="B125" s="19">
        <v>0</v>
      </c>
      <c r="C125" s="19">
        <v>1</v>
      </c>
      <c r="D125" s="19"/>
      <c r="E125" s="19" t="s">
        <v>13</v>
      </c>
    </row>
    <row r="126" spans="1:5" x14ac:dyDescent="0.2">
      <c r="A126" s="1">
        <v>7429</v>
      </c>
      <c r="B126">
        <v>0</v>
      </c>
      <c r="C126">
        <v>0</v>
      </c>
    </row>
    <row r="127" spans="1:5" x14ac:dyDescent="0.2">
      <c r="A127" s="1">
        <v>7431</v>
      </c>
      <c r="B127">
        <v>0</v>
      </c>
      <c r="C127">
        <v>0</v>
      </c>
    </row>
    <row r="128" spans="1:5" x14ac:dyDescent="0.2">
      <c r="A128" s="1">
        <v>7432</v>
      </c>
      <c r="B128">
        <v>0</v>
      </c>
      <c r="C128">
        <v>0</v>
      </c>
    </row>
    <row r="129" spans="1:5" x14ac:dyDescent="0.2">
      <c r="A129" s="1">
        <v>7433</v>
      </c>
      <c r="B129">
        <v>0</v>
      </c>
      <c r="C129">
        <v>0</v>
      </c>
    </row>
    <row r="130" spans="1:5" x14ac:dyDescent="0.2">
      <c r="A130" s="1">
        <v>7434</v>
      </c>
      <c r="B130">
        <v>0</v>
      </c>
      <c r="C130">
        <v>1</v>
      </c>
      <c r="D130">
        <v>0</v>
      </c>
    </row>
    <row r="131" spans="1:5" x14ac:dyDescent="0.2">
      <c r="A131" s="1">
        <v>7435</v>
      </c>
      <c r="B131">
        <v>0</v>
      </c>
      <c r="C131">
        <v>0</v>
      </c>
    </row>
    <row r="132" spans="1:5" x14ac:dyDescent="0.2">
      <c r="A132" s="1">
        <v>7461</v>
      </c>
      <c r="B132">
        <v>1</v>
      </c>
      <c r="C132">
        <v>0</v>
      </c>
    </row>
    <row r="133" spans="1:5" x14ac:dyDescent="0.2">
      <c r="A133" s="1">
        <v>7462</v>
      </c>
      <c r="B133">
        <v>1</v>
      </c>
      <c r="C133">
        <v>0</v>
      </c>
    </row>
    <row r="134" spans="1:5" x14ac:dyDescent="0.2">
      <c r="A134" s="1">
        <v>7463</v>
      </c>
      <c r="B134">
        <v>1</v>
      </c>
      <c r="C134">
        <v>0</v>
      </c>
    </row>
    <row r="135" spans="1:5" x14ac:dyDescent="0.2">
      <c r="A135" s="1">
        <v>7464</v>
      </c>
      <c r="B135">
        <v>1</v>
      </c>
      <c r="C135">
        <v>0</v>
      </c>
    </row>
    <row r="136" spans="1:5" x14ac:dyDescent="0.2">
      <c r="A136" s="18">
        <v>7465</v>
      </c>
      <c r="B136" s="19">
        <v>1</v>
      </c>
      <c r="C136" s="19">
        <v>1</v>
      </c>
      <c r="D136" s="19"/>
      <c r="E136" s="19" t="s">
        <v>13</v>
      </c>
    </row>
    <row r="137" spans="1:5" x14ac:dyDescent="0.2">
      <c r="A137" s="1">
        <v>7466</v>
      </c>
      <c r="B137">
        <v>1</v>
      </c>
      <c r="C137">
        <v>0</v>
      </c>
    </row>
    <row r="138" spans="1:5" x14ac:dyDescent="0.2">
      <c r="A138" s="1">
        <v>7467</v>
      </c>
      <c r="B138">
        <v>1</v>
      </c>
      <c r="C138">
        <v>0</v>
      </c>
    </row>
    <row r="139" spans="1:5" x14ac:dyDescent="0.2">
      <c r="A139" s="1">
        <v>7468</v>
      </c>
      <c r="B139">
        <v>1</v>
      </c>
      <c r="C139">
        <v>0</v>
      </c>
    </row>
    <row r="140" spans="1:5" x14ac:dyDescent="0.2">
      <c r="A140" s="1">
        <v>7469</v>
      </c>
      <c r="B140">
        <v>1</v>
      </c>
      <c r="C140">
        <v>0</v>
      </c>
    </row>
    <row r="141" spans="1:5" x14ac:dyDescent="0.2">
      <c r="A141" s="1">
        <v>7482</v>
      </c>
      <c r="B141">
        <v>1</v>
      </c>
      <c r="C141">
        <v>1</v>
      </c>
      <c r="D141">
        <v>0</v>
      </c>
    </row>
    <row r="142" spans="1:5" x14ac:dyDescent="0.2">
      <c r="A142" s="1">
        <v>7483</v>
      </c>
      <c r="B142">
        <v>1</v>
      </c>
      <c r="C142">
        <v>0</v>
      </c>
    </row>
    <row r="143" spans="1:5" x14ac:dyDescent="0.2">
      <c r="A143" s="1">
        <v>7484</v>
      </c>
      <c r="B143">
        <v>1</v>
      </c>
      <c r="C143">
        <v>0</v>
      </c>
    </row>
    <row r="144" spans="1:5" x14ac:dyDescent="0.2">
      <c r="A144" s="1">
        <v>7485</v>
      </c>
      <c r="B144">
        <v>1</v>
      </c>
      <c r="C144">
        <v>0</v>
      </c>
    </row>
    <row r="145" spans="1:5" x14ac:dyDescent="0.2">
      <c r="A145" s="1">
        <v>7486</v>
      </c>
      <c r="B145">
        <v>0</v>
      </c>
      <c r="C145">
        <v>0</v>
      </c>
    </row>
    <row r="146" spans="1:5" x14ac:dyDescent="0.2">
      <c r="A146" s="1">
        <v>7487</v>
      </c>
      <c r="B146">
        <v>0</v>
      </c>
      <c r="C146">
        <v>0</v>
      </c>
    </row>
    <row r="147" spans="1:5" x14ac:dyDescent="0.2">
      <c r="A147" s="1">
        <v>7488</v>
      </c>
      <c r="B147">
        <v>0</v>
      </c>
      <c r="C147">
        <v>0</v>
      </c>
    </row>
    <row r="148" spans="1:5" x14ac:dyDescent="0.2">
      <c r="A148" s="1">
        <v>7489</v>
      </c>
      <c r="B148">
        <v>0</v>
      </c>
      <c r="C148">
        <v>0</v>
      </c>
    </row>
    <row r="149" spans="1:5" x14ac:dyDescent="0.2">
      <c r="A149" s="1">
        <v>7491</v>
      </c>
      <c r="B149">
        <v>0</v>
      </c>
      <c r="C149">
        <v>0</v>
      </c>
    </row>
    <row r="150" spans="1:5" x14ac:dyDescent="0.2">
      <c r="A150" s="1">
        <v>7492</v>
      </c>
      <c r="B150">
        <v>0</v>
      </c>
      <c r="C150">
        <v>0</v>
      </c>
    </row>
    <row r="151" spans="1:5" x14ac:dyDescent="0.2">
      <c r="A151" s="1">
        <v>7493</v>
      </c>
      <c r="B151">
        <v>0</v>
      </c>
      <c r="C151">
        <v>1</v>
      </c>
      <c r="E151" t="s">
        <v>13</v>
      </c>
    </row>
    <row r="152" spans="1:5" x14ac:dyDescent="0.2">
      <c r="A152" s="1">
        <v>7494</v>
      </c>
      <c r="B152">
        <v>0</v>
      </c>
      <c r="C152">
        <v>0</v>
      </c>
    </row>
    <row r="153" spans="1:5" x14ac:dyDescent="0.2">
      <c r="A153" s="1">
        <v>7495</v>
      </c>
      <c r="B153">
        <v>0</v>
      </c>
      <c r="C153">
        <v>0</v>
      </c>
    </row>
    <row r="154" spans="1:5" x14ac:dyDescent="0.2">
      <c r="A154" s="1">
        <v>7497</v>
      </c>
      <c r="B154">
        <v>0</v>
      </c>
      <c r="C154">
        <v>0</v>
      </c>
    </row>
    <row r="155" spans="1:5" x14ac:dyDescent="0.2">
      <c r="A155" s="1">
        <v>7498</v>
      </c>
      <c r="B155">
        <v>0</v>
      </c>
      <c r="C155">
        <v>0</v>
      </c>
    </row>
    <row r="156" spans="1:5" x14ac:dyDescent="0.2">
      <c r="A156" s="1">
        <v>7499</v>
      </c>
      <c r="B156">
        <v>0</v>
      </c>
      <c r="C156">
        <v>0</v>
      </c>
    </row>
    <row r="157" spans="1:5" x14ac:dyDescent="0.2">
      <c r="A157" s="1">
        <v>7500</v>
      </c>
      <c r="B157">
        <v>0</v>
      </c>
      <c r="C157">
        <v>1</v>
      </c>
    </row>
    <row r="158" spans="1:5" x14ac:dyDescent="0.2">
      <c r="A158" s="1">
        <v>7502</v>
      </c>
      <c r="B158">
        <v>0</v>
      </c>
      <c r="C158">
        <v>0</v>
      </c>
    </row>
    <row r="159" spans="1:5" x14ac:dyDescent="0.2">
      <c r="A159" s="1">
        <v>7504</v>
      </c>
      <c r="B159">
        <v>0</v>
      </c>
      <c r="C159">
        <v>0</v>
      </c>
    </row>
    <row r="160" spans="1:5" x14ac:dyDescent="0.2">
      <c r="A160" s="1">
        <v>7505</v>
      </c>
      <c r="B160">
        <v>0</v>
      </c>
      <c r="C160">
        <v>0</v>
      </c>
    </row>
    <row r="161" spans="1:5" x14ac:dyDescent="0.2">
      <c r="A161" s="1">
        <v>7506</v>
      </c>
      <c r="B161">
        <v>0</v>
      </c>
      <c r="C161">
        <v>0</v>
      </c>
    </row>
    <row r="162" spans="1:5" x14ac:dyDescent="0.2">
      <c r="A162" s="1">
        <v>7507</v>
      </c>
      <c r="B162">
        <v>0</v>
      </c>
      <c r="C162">
        <v>0</v>
      </c>
    </row>
    <row r="163" spans="1:5" x14ac:dyDescent="0.2">
      <c r="A163" s="1">
        <v>7508</v>
      </c>
      <c r="B163">
        <v>0</v>
      </c>
      <c r="C163">
        <v>0</v>
      </c>
    </row>
    <row r="164" spans="1:5" x14ac:dyDescent="0.2">
      <c r="A164" s="1">
        <v>7509</v>
      </c>
      <c r="B164">
        <v>0</v>
      </c>
      <c r="C164">
        <v>0</v>
      </c>
    </row>
    <row r="165" spans="1:5" x14ac:dyDescent="0.2">
      <c r="A165" s="1">
        <v>7510</v>
      </c>
      <c r="B165">
        <v>0</v>
      </c>
      <c r="C165">
        <v>1</v>
      </c>
      <c r="E165" t="s">
        <v>13</v>
      </c>
    </row>
    <row r="166" spans="1:5" x14ac:dyDescent="0.2">
      <c r="A166" s="1">
        <v>7511</v>
      </c>
      <c r="B166">
        <v>0</v>
      </c>
    </row>
    <row r="167" spans="1:5" x14ac:dyDescent="0.2">
      <c r="A167" s="1">
        <v>7512</v>
      </c>
      <c r="B167">
        <v>0</v>
      </c>
    </row>
    <row r="168" spans="1:5" x14ac:dyDescent="0.2">
      <c r="A168" s="1">
        <v>7513</v>
      </c>
      <c r="B168">
        <v>0</v>
      </c>
    </row>
    <row r="169" spans="1:5" x14ac:dyDescent="0.2">
      <c r="A169" s="1">
        <v>7515</v>
      </c>
      <c r="B169">
        <v>0</v>
      </c>
    </row>
    <row r="170" spans="1:5" x14ac:dyDescent="0.2">
      <c r="A170" s="1">
        <v>7516</v>
      </c>
      <c r="B170">
        <v>0</v>
      </c>
    </row>
    <row r="171" spans="1:5" x14ac:dyDescent="0.2">
      <c r="A171" s="1">
        <v>7519</v>
      </c>
      <c r="B171">
        <v>0</v>
      </c>
    </row>
    <row r="172" spans="1:5" x14ac:dyDescent="0.2">
      <c r="A172" s="1">
        <v>7520</v>
      </c>
      <c r="B172">
        <v>0</v>
      </c>
    </row>
    <row r="173" spans="1:5" x14ac:dyDescent="0.2">
      <c r="A173" s="1">
        <v>7521</v>
      </c>
      <c r="B173">
        <v>0</v>
      </c>
    </row>
    <row r="174" spans="1:5" x14ac:dyDescent="0.2">
      <c r="A174" s="1">
        <v>7522</v>
      </c>
      <c r="B174">
        <v>0</v>
      </c>
    </row>
    <row r="175" spans="1:5" x14ac:dyDescent="0.2">
      <c r="A175" s="1">
        <v>7523</v>
      </c>
      <c r="B175">
        <v>0</v>
      </c>
    </row>
    <row r="176" spans="1:5" x14ac:dyDescent="0.2">
      <c r="A176" s="1">
        <v>7524</v>
      </c>
      <c r="B176">
        <v>0</v>
      </c>
    </row>
    <row r="177" spans="1:2" x14ac:dyDescent="0.2">
      <c r="A177" s="1">
        <v>7525</v>
      </c>
      <c r="B177">
        <v>0</v>
      </c>
    </row>
    <row r="178" spans="1:2" x14ac:dyDescent="0.2">
      <c r="A178" s="1">
        <v>7526</v>
      </c>
      <c r="B178">
        <v>0</v>
      </c>
    </row>
    <row r="179" spans="1:2" x14ac:dyDescent="0.2">
      <c r="A179" s="1">
        <v>7527</v>
      </c>
      <c r="B179">
        <v>0</v>
      </c>
    </row>
    <row r="180" spans="1:2" x14ac:dyDescent="0.2">
      <c r="A180" s="1">
        <v>7528</v>
      </c>
      <c r="B180">
        <v>0</v>
      </c>
    </row>
    <row r="181" spans="1:2" x14ac:dyDescent="0.2">
      <c r="A181" s="1">
        <v>7530</v>
      </c>
      <c r="B181">
        <v>0</v>
      </c>
    </row>
    <row r="182" spans="1:2" x14ac:dyDescent="0.2">
      <c r="A182" s="1">
        <v>7531</v>
      </c>
      <c r="B182">
        <v>0</v>
      </c>
    </row>
    <row r="183" spans="1:2" x14ac:dyDescent="0.2">
      <c r="A183" s="1">
        <v>7532</v>
      </c>
      <c r="B183">
        <v>0</v>
      </c>
    </row>
    <row r="184" spans="1:2" x14ac:dyDescent="0.2">
      <c r="A184" s="1">
        <v>7533</v>
      </c>
      <c r="B184">
        <v>0</v>
      </c>
    </row>
    <row r="185" spans="1:2" x14ac:dyDescent="0.2">
      <c r="A185" s="1">
        <v>7534</v>
      </c>
      <c r="B185">
        <v>0</v>
      </c>
    </row>
    <row r="186" spans="1:2" x14ac:dyDescent="0.2">
      <c r="A186" s="1">
        <v>7535</v>
      </c>
      <c r="B186">
        <v>0</v>
      </c>
    </row>
    <row r="187" spans="1:2" x14ac:dyDescent="0.2">
      <c r="A187" s="1">
        <v>7561</v>
      </c>
      <c r="B187">
        <v>1</v>
      </c>
    </row>
    <row r="188" spans="1:2" x14ac:dyDescent="0.2">
      <c r="A188" s="1">
        <v>7562</v>
      </c>
      <c r="B188">
        <v>1</v>
      </c>
    </row>
    <row r="189" spans="1:2" x14ac:dyDescent="0.2">
      <c r="A189" s="1">
        <v>7564</v>
      </c>
      <c r="B189">
        <v>1</v>
      </c>
    </row>
    <row r="190" spans="1:2" x14ac:dyDescent="0.2">
      <c r="A190" s="1">
        <v>7565</v>
      </c>
      <c r="B190">
        <v>1</v>
      </c>
    </row>
    <row r="191" spans="1:2" x14ac:dyDescent="0.2">
      <c r="A191" s="1">
        <v>7566</v>
      </c>
      <c r="B191">
        <v>1</v>
      </c>
    </row>
    <row r="192" spans="1:2" x14ac:dyDescent="0.2">
      <c r="A192" s="1">
        <v>7567</v>
      </c>
      <c r="B192">
        <v>1</v>
      </c>
    </row>
    <row r="193" spans="1:2" x14ac:dyDescent="0.2">
      <c r="A193" s="1">
        <v>7568</v>
      </c>
      <c r="B193">
        <v>1</v>
      </c>
    </row>
    <row r="194" spans="1:2" x14ac:dyDescent="0.2">
      <c r="A194" s="1">
        <v>7569</v>
      </c>
      <c r="B194">
        <v>1</v>
      </c>
    </row>
    <row r="195" spans="1:2" x14ac:dyDescent="0.2">
      <c r="A195" s="1">
        <v>7570</v>
      </c>
      <c r="B195">
        <v>1</v>
      </c>
    </row>
    <row r="196" spans="1:2" x14ac:dyDescent="0.2">
      <c r="A196" s="1">
        <v>7571</v>
      </c>
      <c r="B196">
        <v>1</v>
      </c>
    </row>
    <row r="197" spans="1:2" x14ac:dyDescent="0.2">
      <c r="A197" s="1">
        <v>7572</v>
      </c>
      <c r="B197">
        <v>1</v>
      </c>
    </row>
    <row r="198" spans="1:2" x14ac:dyDescent="0.2">
      <c r="A198" s="1">
        <v>7575</v>
      </c>
      <c r="B198">
        <v>1</v>
      </c>
    </row>
    <row r="199" spans="1:2" x14ac:dyDescent="0.2">
      <c r="A199" s="1">
        <v>7576</v>
      </c>
      <c r="B199">
        <v>1</v>
      </c>
    </row>
    <row r="200" spans="1:2" x14ac:dyDescent="0.2">
      <c r="A200" s="1">
        <v>7577</v>
      </c>
      <c r="B200">
        <v>1</v>
      </c>
    </row>
    <row r="201" spans="1:2" x14ac:dyDescent="0.2">
      <c r="A201" s="1">
        <v>7578</v>
      </c>
      <c r="B201">
        <v>1</v>
      </c>
    </row>
    <row r="202" spans="1:2" x14ac:dyDescent="0.2">
      <c r="A202" s="1">
        <v>7580</v>
      </c>
      <c r="B202">
        <v>1</v>
      </c>
    </row>
    <row r="203" spans="1:2" x14ac:dyDescent="0.2">
      <c r="A203" s="1">
        <v>7581</v>
      </c>
      <c r="B203">
        <v>1</v>
      </c>
    </row>
    <row r="204" spans="1:2" x14ac:dyDescent="0.2">
      <c r="A204" s="1">
        <v>7582</v>
      </c>
      <c r="B204">
        <v>1</v>
      </c>
    </row>
    <row r="205" spans="1:2" x14ac:dyDescent="0.2">
      <c r="A205" s="1">
        <v>7583</v>
      </c>
      <c r="B205">
        <v>1</v>
      </c>
    </row>
    <row r="206" spans="1:2" x14ac:dyDescent="0.2">
      <c r="A206" s="1">
        <v>7585</v>
      </c>
      <c r="B206">
        <v>1</v>
      </c>
    </row>
    <row r="207" spans="1:2" x14ac:dyDescent="0.2">
      <c r="A207" s="1">
        <v>7586</v>
      </c>
      <c r="B207">
        <v>1</v>
      </c>
    </row>
    <row r="208" spans="1:2" x14ac:dyDescent="0.2">
      <c r="A208" s="1">
        <v>7587</v>
      </c>
      <c r="B208">
        <v>1</v>
      </c>
    </row>
    <row r="209" spans="1:2" x14ac:dyDescent="0.2">
      <c r="A209" s="1">
        <v>7589</v>
      </c>
      <c r="B209">
        <v>1</v>
      </c>
    </row>
    <row r="210" spans="1:2" x14ac:dyDescent="0.2">
      <c r="A210" s="1">
        <v>7590</v>
      </c>
      <c r="B210">
        <v>1</v>
      </c>
    </row>
    <row r="211" spans="1:2" x14ac:dyDescent="0.2">
      <c r="A211" s="1">
        <v>7592</v>
      </c>
      <c r="B211">
        <v>1</v>
      </c>
    </row>
    <row r="212" spans="1:2" x14ac:dyDescent="0.2">
      <c r="A212" s="1">
        <v>7593</v>
      </c>
      <c r="B212">
        <v>1</v>
      </c>
    </row>
    <row r="213" spans="1:2" x14ac:dyDescent="0.2">
      <c r="A213" s="1">
        <v>7595</v>
      </c>
      <c r="B213">
        <v>1</v>
      </c>
    </row>
    <row r="214" spans="1:2" x14ac:dyDescent="0.2">
      <c r="A214" s="1">
        <v>7597</v>
      </c>
      <c r="B214">
        <v>1</v>
      </c>
    </row>
    <row r="215" spans="1:2" x14ac:dyDescent="0.2">
      <c r="A215" s="1">
        <v>7598</v>
      </c>
      <c r="B215">
        <v>1</v>
      </c>
    </row>
    <row r="216" spans="1:2" x14ac:dyDescent="0.2">
      <c r="A216" s="1">
        <v>7599</v>
      </c>
      <c r="B216">
        <v>1</v>
      </c>
    </row>
    <row r="217" spans="1:2" x14ac:dyDescent="0.2">
      <c r="A217" s="1">
        <v>7600</v>
      </c>
      <c r="B217">
        <v>1</v>
      </c>
    </row>
    <row r="218" spans="1:2" x14ac:dyDescent="0.2">
      <c r="A218" s="1">
        <v>7601</v>
      </c>
      <c r="B218">
        <v>1</v>
      </c>
    </row>
    <row r="219" spans="1:2" x14ac:dyDescent="0.2">
      <c r="A219" s="1">
        <v>7602</v>
      </c>
      <c r="B219">
        <v>1</v>
      </c>
    </row>
    <row r="220" spans="1:2" x14ac:dyDescent="0.2">
      <c r="A220" s="1">
        <v>7603</v>
      </c>
      <c r="B220">
        <v>0</v>
      </c>
    </row>
    <row r="221" spans="1:2" x14ac:dyDescent="0.2">
      <c r="A221" s="1">
        <v>7606</v>
      </c>
      <c r="B221">
        <v>0</v>
      </c>
    </row>
    <row r="222" spans="1:2" x14ac:dyDescent="0.2">
      <c r="A222" s="1">
        <v>7607</v>
      </c>
      <c r="B222">
        <v>0</v>
      </c>
    </row>
    <row r="223" spans="1:2" x14ac:dyDescent="0.2">
      <c r="A223" s="1">
        <v>7609</v>
      </c>
      <c r="B223">
        <v>0</v>
      </c>
    </row>
    <row r="224" spans="1:2" x14ac:dyDescent="0.2">
      <c r="A224" s="1">
        <v>7610</v>
      </c>
      <c r="B224">
        <v>0</v>
      </c>
    </row>
    <row r="225" spans="1:2" x14ac:dyDescent="0.2">
      <c r="A225" s="1">
        <v>7611</v>
      </c>
      <c r="B225">
        <v>0</v>
      </c>
    </row>
    <row r="226" spans="1:2" x14ac:dyDescent="0.2">
      <c r="A226" s="1">
        <v>7612</v>
      </c>
      <c r="B226">
        <v>0</v>
      </c>
    </row>
    <row r="227" spans="1:2" x14ac:dyDescent="0.2">
      <c r="A227" s="1">
        <v>7613</v>
      </c>
      <c r="B227">
        <v>0</v>
      </c>
    </row>
    <row r="228" spans="1:2" x14ac:dyDescent="0.2">
      <c r="A228" s="1">
        <v>7614</v>
      </c>
      <c r="B228">
        <v>0</v>
      </c>
    </row>
    <row r="229" spans="1:2" x14ac:dyDescent="0.2">
      <c r="A229" s="1">
        <v>7616</v>
      </c>
      <c r="B229">
        <v>0</v>
      </c>
    </row>
    <row r="230" spans="1:2" x14ac:dyDescent="0.2">
      <c r="A230" s="1">
        <v>7617</v>
      </c>
      <c r="B230">
        <v>0</v>
      </c>
    </row>
    <row r="231" spans="1:2" x14ac:dyDescent="0.2">
      <c r="A231" s="1">
        <v>7629</v>
      </c>
      <c r="B231">
        <v>0</v>
      </c>
    </row>
    <row r="232" spans="1:2" x14ac:dyDescent="0.2">
      <c r="A232" s="1">
        <v>7630</v>
      </c>
      <c r="B232">
        <v>0</v>
      </c>
    </row>
    <row r="233" spans="1:2" x14ac:dyDescent="0.2">
      <c r="A233" s="1">
        <v>7631</v>
      </c>
      <c r="B233">
        <v>0</v>
      </c>
    </row>
    <row r="234" spans="1:2" x14ac:dyDescent="0.2">
      <c r="A234" s="1">
        <v>7632</v>
      </c>
      <c r="B234">
        <v>0</v>
      </c>
    </row>
    <row r="235" spans="1:2" x14ac:dyDescent="0.2">
      <c r="A235" s="1">
        <v>7633</v>
      </c>
      <c r="B235">
        <v>0</v>
      </c>
    </row>
    <row r="236" spans="1:2" x14ac:dyDescent="0.2">
      <c r="A236" s="1">
        <v>7634</v>
      </c>
      <c r="B236">
        <v>0</v>
      </c>
    </row>
    <row r="237" spans="1:2" x14ac:dyDescent="0.2">
      <c r="A237" s="1">
        <v>7635</v>
      </c>
      <c r="B237">
        <v>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F5D1D-843A-8142-BEC9-31477297A276}">
  <dimension ref="A1:F237"/>
  <sheetViews>
    <sheetView workbookViewId="0">
      <selection activeCell="B2" sqref="B2"/>
    </sheetView>
  </sheetViews>
  <sheetFormatPr baseColWidth="10" defaultRowHeight="16" x14ac:dyDescent="0.2"/>
  <sheetData>
    <row r="1" spans="1:6" x14ac:dyDescent="0.2">
      <c r="A1" s="16" t="s">
        <v>0</v>
      </c>
      <c r="B1" t="s">
        <v>27</v>
      </c>
      <c r="C1" t="s">
        <v>28</v>
      </c>
      <c r="D1" t="s">
        <v>29</v>
      </c>
      <c r="E1" t="s">
        <v>30</v>
      </c>
      <c r="F1" t="s">
        <v>15</v>
      </c>
    </row>
    <row r="2" spans="1:6" x14ac:dyDescent="0.2">
      <c r="A2" s="17">
        <v>7034</v>
      </c>
      <c r="B2">
        <v>1</v>
      </c>
      <c r="C2">
        <v>0</v>
      </c>
      <c r="D2">
        <v>0</v>
      </c>
      <c r="E2">
        <v>0</v>
      </c>
    </row>
    <row r="3" spans="1:6" x14ac:dyDescent="0.2">
      <c r="A3" s="17">
        <v>7036</v>
      </c>
      <c r="B3">
        <v>1</v>
      </c>
      <c r="C3">
        <v>0</v>
      </c>
      <c r="D3">
        <v>0</v>
      </c>
      <c r="E3">
        <v>0</v>
      </c>
    </row>
    <row r="4" spans="1:6" x14ac:dyDescent="0.2">
      <c r="A4" s="17">
        <v>7037</v>
      </c>
      <c r="B4">
        <v>1</v>
      </c>
      <c r="C4">
        <v>0</v>
      </c>
      <c r="D4">
        <v>0</v>
      </c>
      <c r="E4">
        <v>0</v>
      </c>
    </row>
    <row r="5" spans="1:6" x14ac:dyDescent="0.2">
      <c r="A5" s="17">
        <v>7038</v>
      </c>
      <c r="B5">
        <v>1</v>
      </c>
      <c r="C5">
        <v>0</v>
      </c>
      <c r="D5">
        <v>0</v>
      </c>
      <c r="E5">
        <v>0</v>
      </c>
    </row>
    <row r="6" spans="1:6" x14ac:dyDescent="0.2">
      <c r="A6" s="17">
        <v>7040</v>
      </c>
      <c r="B6">
        <v>1</v>
      </c>
      <c r="C6">
        <v>0</v>
      </c>
      <c r="D6">
        <v>0</v>
      </c>
      <c r="E6">
        <v>0</v>
      </c>
    </row>
    <row r="7" spans="1:6" x14ac:dyDescent="0.2">
      <c r="A7" s="17">
        <v>7041</v>
      </c>
      <c r="B7">
        <v>1</v>
      </c>
      <c r="C7">
        <v>0</v>
      </c>
      <c r="D7">
        <v>0</v>
      </c>
      <c r="E7">
        <v>0</v>
      </c>
    </row>
    <row r="8" spans="1:6" x14ac:dyDescent="0.2">
      <c r="A8" s="17">
        <v>7042</v>
      </c>
      <c r="B8">
        <v>1</v>
      </c>
      <c r="C8">
        <v>0</v>
      </c>
      <c r="D8">
        <v>0</v>
      </c>
      <c r="E8">
        <v>0</v>
      </c>
    </row>
    <row r="9" spans="1:6" x14ac:dyDescent="0.2">
      <c r="A9" s="17">
        <v>7043</v>
      </c>
      <c r="B9">
        <v>1</v>
      </c>
      <c r="C9">
        <v>1</v>
      </c>
      <c r="D9">
        <v>0</v>
      </c>
      <c r="E9">
        <v>0</v>
      </c>
      <c r="F9" t="s">
        <v>31</v>
      </c>
    </row>
    <row r="10" spans="1:6" x14ac:dyDescent="0.2">
      <c r="A10" s="17">
        <v>7044</v>
      </c>
      <c r="B10">
        <v>1</v>
      </c>
      <c r="C10">
        <v>0</v>
      </c>
      <c r="D10">
        <v>0</v>
      </c>
      <c r="E10">
        <v>0</v>
      </c>
      <c r="F10" t="s">
        <v>32</v>
      </c>
    </row>
    <row r="11" spans="1:6" x14ac:dyDescent="0.2">
      <c r="A11" s="17">
        <v>7045</v>
      </c>
      <c r="B11">
        <v>1</v>
      </c>
      <c r="C11">
        <v>0</v>
      </c>
      <c r="D11">
        <v>0</v>
      </c>
      <c r="E11">
        <v>0</v>
      </c>
    </row>
    <row r="12" spans="1:6" x14ac:dyDescent="0.2">
      <c r="A12" s="17">
        <v>7046</v>
      </c>
      <c r="B12">
        <v>1</v>
      </c>
      <c r="C12">
        <v>0</v>
      </c>
      <c r="D12">
        <v>0</v>
      </c>
      <c r="E12">
        <v>0</v>
      </c>
    </row>
    <row r="13" spans="1:6" x14ac:dyDescent="0.2">
      <c r="A13" s="17">
        <v>7047</v>
      </c>
      <c r="B13">
        <v>1</v>
      </c>
      <c r="C13">
        <v>0</v>
      </c>
      <c r="D13">
        <v>0</v>
      </c>
      <c r="E13">
        <v>0</v>
      </c>
    </row>
    <row r="14" spans="1:6" x14ac:dyDescent="0.2">
      <c r="A14" s="17">
        <v>7048</v>
      </c>
      <c r="B14">
        <v>1</v>
      </c>
      <c r="C14">
        <v>0</v>
      </c>
      <c r="D14">
        <v>0</v>
      </c>
      <c r="E14">
        <v>0</v>
      </c>
    </row>
    <row r="15" spans="1:6" x14ac:dyDescent="0.2">
      <c r="A15" s="17">
        <v>7049</v>
      </c>
      <c r="B15">
        <v>1</v>
      </c>
      <c r="C15">
        <v>0</v>
      </c>
      <c r="D15">
        <v>0</v>
      </c>
      <c r="E15">
        <v>0</v>
      </c>
    </row>
    <row r="16" spans="1:6" x14ac:dyDescent="0.2">
      <c r="A16" s="17">
        <v>7050</v>
      </c>
      <c r="B16">
        <v>1</v>
      </c>
      <c r="C16">
        <v>0</v>
      </c>
      <c r="D16">
        <v>0</v>
      </c>
      <c r="E16">
        <v>0</v>
      </c>
    </row>
    <row r="17" spans="1:5" x14ac:dyDescent="0.2">
      <c r="A17" s="17">
        <v>7051</v>
      </c>
      <c r="B17">
        <v>1</v>
      </c>
      <c r="C17">
        <v>0</v>
      </c>
      <c r="D17">
        <v>0</v>
      </c>
      <c r="E17">
        <v>0</v>
      </c>
    </row>
    <row r="18" spans="1:5" x14ac:dyDescent="0.2">
      <c r="A18" s="17">
        <v>7052</v>
      </c>
      <c r="B18">
        <v>1</v>
      </c>
      <c r="C18">
        <v>0</v>
      </c>
      <c r="D18">
        <v>0</v>
      </c>
      <c r="E18">
        <v>1</v>
      </c>
    </row>
    <row r="19" spans="1:5" x14ac:dyDescent="0.2">
      <c r="A19" s="17">
        <v>7053</v>
      </c>
      <c r="B19">
        <v>1</v>
      </c>
      <c r="C19">
        <v>0</v>
      </c>
      <c r="D19">
        <v>0</v>
      </c>
      <c r="E19">
        <v>0</v>
      </c>
    </row>
    <row r="20" spans="1:5" x14ac:dyDescent="0.2">
      <c r="A20" s="17">
        <v>7055</v>
      </c>
      <c r="B20">
        <v>1</v>
      </c>
      <c r="C20">
        <v>0</v>
      </c>
      <c r="D20">
        <v>0</v>
      </c>
      <c r="E20">
        <v>0</v>
      </c>
    </row>
    <row r="21" spans="1:5" x14ac:dyDescent="0.2">
      <c r="A21" s="17">
        <v>7194</v>
      </c>
      <c r="B21">
        <v>1</v>
      </c>
      <c r="C21">
        <v>0</v>
      </c>
      <c r="D21">
        <v>0</v>
      </c>
      <c r="E21">
        <v>0</v>
      </c>
    </row>
    <row r="22" spans="1:5" x14ac:dyDescent="0.2">
      <c r="A22" s="17">
        <v>7195</v>
      </c>
      <c r="B22">
        <v>1</v>
      </c>
      <c r="C22">
        <v>0</v>
      </c>
      <c r="D22">
        <v>0</v>
      </c>
      <c r="E22">
        <v>0</v>
      </c>
    </row>
    <row r="23" spans="1:5" x14ac:dyDescent="0.2">
      <c r="A23" s="17">
        <v>7196</v>
      </c>
      <c r="B23">
        <v>1</v>
      </c>
      <c r="C23">
        <v>0</v>
      </c>
      <c r="D23">
        <v>0</v>
      </c>
      <c r="E23">
        <v>0</v>
      </c>
    </row>
    <row r="24" spans="1:5" x14ac:dyDescent="0.2">
      <c r="A24" s="17">
        <v>7197</v>
      </c>
      <c r="B24">
        <v>1</v>
      </c>
      <c r="C24">
        <v>0</v>
      </c>
      <c r="D24">
        <v>0</v>
      </c>
      <c r="E24">
        <v>0</v>
      </c>
    </row>
    <row r="25" spans="1:5" x14ac:dyDescent="0.2">
      <c r="A25" s="17">
        <v>7199</v>
      </c>
      <c r="B25">
        <v>1</v>
      </c>
      <c r="C25">
        <v>0</v>
      </c>
      <c r="D25">
        <v>0</v>
      </c>
      <c r="E25">
        <v>0</v>
      </c>
    </row>
    <row r="26" spans="1:5" x14ac:dyDescent="0.2">
      <c r="A26" s="17">
        <v>7200</v>
      </c>
      <c r="B26">
        <v>1</v>
      </c>
      <c r="C26">
        <v>0</v>
      </c>
      <c r="D26">
        <v>0</v>
      </c>
      <c r="E26">
        <v>0</v>
      </c>
    </row>
    <row r="27" spans="1:5" x14ac:dyDescent="0.2">
      <c r="A27" s="17">
        <v>7201</v>
      </c>
      <c r="B27">
        <v>1</v>
      </c>
      <c r="C27">
        <v>0</v>
      </c>
      <c r="D27">
        <v>0</v>
      </c>
      <c r="E27">
        <v>0</v>
      </c>
    </row>
    <row r="28" spans="1:5" x14ac:dyDescent="0.2">
      <c r="A28" s="17">
        <v>7202</v>
      </c>
      <c r="B28">
        <v>1</v>
      </c>
      <c r="C28">
        <v>0</v>
      </c>
      <c r="D28">
        <v>0</v>
      </c>
      <c r="E28">
        <v>0</v>
      </c>
    </row>
    <row r="29" spans="1:5" x14ac:dyDescent="0.2">
      <c r="A29" s="17">
        <v>7203</v>
      </c>
      <c r="B29">
        <v>1</v>
      </c>
      <c r="C29">
        <v>0</v>
      </c>
      <c r="D29">
        <v>0</v>
      </c>
      <c r="E29">
        <v>0</v>
      </c>
    </row>
    <row r="30" spans="1:5" x14ac:dyDescent="0.2">
      <c r="A30" s="17">
        <v>7205</v>
      </c>
      <c r="B30">
        <v>1</v>
      </c>
      <c r="C30">
        <v>0</v>
      </c>
      <c r="D30">
        <v>0</v>
      </c>
      <c r="E30">
        <v>0</v>
      </c>
    </row>
    <row r="31" spans="1:5" x14ac:dyDescent="0.2">
      <c r="A31" s="17">
        <v>7206</v>
      </c>
      <c r="B31">
        <v>1</v>
      </c>
      <c r="C31">
        <v>0</v>
      </c>
      <c r="D31">
        <v>0</v>
      </c>
      <c r="E31">
        <v>0</v>
      </c>
    </row>
    <row r="32" spans="1:5" x14ac:dyDescent="0.2">
      <c r="A32" s="17">
        <v>7262</v>
      </c>
      <c r="B32">
        <v>0</v>
      </c>
      <c r="C32">
        <v>0</v>
      </c>
      <c r="D32">
        <v>1</v>
      </c>
      <c r="E32">
        <v>0</v>
      </c>
    </row>
    <row r="33" spans="1:5" x14ac:dyDescent="0.2">
      <c r="A33" s="17">
        <v>7263</v>
      </c>
      <c r="B33">
        <v>0</v>
      </c>
      <c r="C33">
        <v>0</v>
      </c>
      <c r="D33">
        <v>1</v>
      </c>
      <c r="E33">
        <v>0</v>
      </c>
    </row>
    <row r="34" spans="1:5" x14ac:dyDescent="0.2">
      <c r="A34" s="17">
        <v>7265</v>
      </c>
      <c r="B34">
        <v>0</v>
      </c>
      <c r="C34">
        <v>0</v>
      </c>
      <c r="D34">
        <v>1</v>
      </c>
      <c r="E34">
        <v>0</v>
      </c>
    </row>
    <row r="35" spans="1:5" x14ac:dyDescent="0.2">
      <c r="A35" s="17">
        <v>7266</v>
      </c>
      <c r="B35">
        <v>0</v>
      </c>
      <c r="C35">
        <v>0</v>
      </c>
      <c r="D35">
        <v>1</v>
      </c>
      <c r="E35">
        <v>0</v>
      </c>
    </row>
    <row r="36" spans="1:5" x14ac:dyDescent="0.2">
      <c r="A36" s="17">
        <v>7267</v>
      </c>
      <c r="B36">
        <v>0</v>
      </c>
      <c r="C36">
        <v>0</v>
      </c>
      <c r="D36">
        <v>1</v>
      </c>
      <c r="E36">
        <v>0</v>
      </c>
    </row>
    <row r="37" spans="1:5" x14ac:dyDescent="0.2">
      <c r="A37" s="17">
        <v>7269</v>
      </c>
      <c r="B37">
        <v>0</v>
      </c>
      <c r="C37">
        <v>0</v>
      </c>
      <c r="D37">
        <v>1</v>
      </c>
      <c r="E37">
        <v>0</v>
      </c>
    </row>
    <row r="38" spans="1:5" x14ac:dyDescent="0.2">
      <c r="A38" s="17">
        <v>7271</v>
      </c>
      <c r="B38">
        <v>0</v>
      </c>
      <c r="C38">
        <v>0</v>
      </c>
      <c r="D38">
        <v>1</v>
      </c>
      <c r="E38">
        <v>0</v>
      </c>
    </row>
    <row r="39" spans="1:5" x14ac:dyDescent="0.2">
      <c r="A39" s="17">
        <v>7272</v>
      </c>
      <c r="B39">
        <v>0</v>
      </c>
      <c r="C39">
        <v>0</v>
      </c>
      <c r="D39">
        <v>1</v>
      </c>
      <c r="E39">
        <v>0</v>
      </c>
    </row>
    <row r="40" spans="1:5" x14ac:dyDescent="0.2">
      <c r="A40" s="17">
        <v>7273</v>
      </c>
      <c r="B40">
        <v>0</v>
      </c>
      <c r="C40">
        <v>0</v>
      </c>
      <c r="D40">
        <v>1</v>
      </c>
      <c r="E40">
        <v>0</v>
      </c>
    </row>
    <row r="41" spans="1:5" x14ac:dyDescent="0.2">
      <c r="A41" s="17">
        <v>7275</v>
      </c>
      <c r="B41">
        <v>0</v>
      </c>
      <c r="C41">
        <v>0</v>
      </c>
      <c r="D41">
        <v>1</v>
      </c>
      <c r="E41">
        <v>0</v>
      </c>
    </row>
    <row r="42" spans="1:5" x14ac:dyDescent="0.2">
      <c r="A42" s="17">
        <v>7276</v>
      </c>
      <c r="B42">
        <v>0</v>
      </c>
      <c r="C42">
        <v>0</v>
      </c>
      <c r="D42">
        <v>1</v>
      </c>
      <c r="E42">
        <v>0</v>
      </c>
    </row>
    <row r="43" spans="1:5" x14ac:dyDescent="0.2">
      <c r="A43" s="17">
        <v>7277</v>
      </c>
      <c r="B43">
        <v>0</v>
      </c>
      <c r="C43">
        <v>0</v>
      </c>
      <c r="D43">
        <v>1</v>
      </c>
      <c r="E43">
        <v>1</v>
      </c>
    </row>
    <row r="44" spans="1:5" x14ac:dyDescent="0.2">
      <c r="A44" s="17">
        <v>7278</v>
      </c>
      <c r="B44">
        <v>0</v>
      </c>
      <c r="C44">
        <v>0</v>
      </c>
      <c r="D44">
        <v>1</v>
      </c>
      <c r="E44">
        <v>0</v>
      </c>
    </row>
    <row r="45" spans="1:5" x14ac:dyDescent="0.2">
      <c r="A45" s="17">
        <v>7279</v>
      </c>
      <c r="B45">
        <v>0</v>
      </c>
      <c r="C45">
        <v>0</v>
      </c>
      <c r="D45">
        <v>1</v>
      </c>
      <c r="E45">
        <v>0</v>
      </c>
    </row>
    <row r="46" spans="1:5" x14ac:dyDescent="0.2">
      <c r="A46" s="17">
        <v>7280</v>
      </c>
      <c r="B46">
        <v>0</v>
      </c>
      <c r="C46">
        <v>0</v>
      </c>
      <c r="D46">
        <v>1</v>
      </c>
      <c r="E46">
        <v>0</v>
      </c>
    </row>
    <row r="47" spans="1:5" x14ac:dyDescent="0.2">
      <c r="A47" s="17">
        <v>7281</v>
      </c>
      <c r="B47">
        <v>0</v>
      </c>
      <c r="C47">
        <v>0</v>
      </c>
      <c r="D47">
        <v>1</v>
      </c>
      <c r="E47">
        <v>0</v>
      </c>
    </row>
    <row r="48" spans="1:5" x14ac:dyDescent="0.2">
      <c r="A48" s="17">
        <v>7282</v>
      </c>
      <c r="B48">
        <v>0</v>
      </c>
      <c r="C48">
        <v>0</v>
      </c>
      <c r="D48">
        <v>1</v>
      </c>
      <c r="E48">
        <v>0</v>
      </c>
    </row>
    <row r="49" spans="1:5" x14ac:dyDescent="0.2">
      <c r="A49" s="17">
        <v>7283</v>
      </c>
      <c r="B49">
        <v>0</v>
      </c>
      <c r="C49">
        <v>0</v>
      </c>
      <c r="D49">
        <v>1</v>
      </c>
      <c r="E49">
        <v>0</v>
      </c>
    </row>
    <row r="50" spans="1:5" x14ac:dyDescent="0.2">
      <c r="A50" s="17">
        <v>7284</v>
      </c>
      <c r="B50">
        <v>0</v>
      </c>
      <c r="C50">
        <v>0</v>
      </c>
      <c r="D50">
        <v>1</v>
      </c>
      <c r="E50">
        <v>0</v>
      </c>
    </row>
    <row r="51" spans="1:5" x14ac:dyDescent="0.2">
      <c r="A51" s="17">
        <v>7285</v>
      </c>
      <c r="B51">
        <v>0</v>
      </c>
      <c r="C51">
        <v>0</v>
      </c>
      <c r="D51">
        <v>1</v>
      </c>
      <c r="E51">
        <v>0</v>
      </c>
    </row>
    <row r="52" spans="1:5" x14ac:dyDescent="0.2">
      <c r="A52" s="17">
        <v>7286</v>
      </c>
      <c r="B52">
        <v>0</v>
      </c>
      <c r="C52">
        <v>0</v>
      </c>
      <c r="D52">
        <v>1</v>
      </c>
      <c r="E52">
        <v>0</v>
      </c>
    </row>
    <row r="53" spans="1:5" x14ac:dyDescent="0.2">
      <c r="A53" s="17">
        <v>7287</v>
      </c>
      <c r="B53">
        <v>0</v>
      </c>
      <c r="C53">
        <v>0</v>
      </c>
      <c r="D53">
        <v>1</v>
      </c>
      <c r="E53">
        <v>0</v>
      </c>
    </row>
    <row r="54" spans="1:5" x14ac:dyDescent="0.2">
      <c r="A54" s="17">
        <v>7288</v>
      </c>
      <c r="B54">
        <v>0</v>
      </c>
      <c r="C54">
        <v>0</v>
      </c>
      <c r="D54">
        <v>1</v>
      </c>
      <c r="E54">
        <v>1</v>
      </c>
    </row>
    <row r="55" spans="1:5" x14ac:dyDescent="0.2">
      <c r="A55" s="17">
        <v>7289</v>
      </c>
      <c r="B55">
        <v>0</v>
      </c>
      <c r="C55">
        <v>0</v>
      </c>
      <c r="D55">
        <v>1</v>
      </c>
      <c r="E55">
        <v>0</v>
      </c>
    </row>
    <row r="56" spans="1:5" x14ac:dyDescent="0.2">
      <c r="A56" s="17">
        <v>7311</v>
      </c>
      <c r="B56">
        <v>0</v>
      </c>
      <c r="C56">
        <v>1</v>
      </c>
      <c r="D56">
        <v>0</v>
      </c>
      <c r="E56">
        <v>0</v>
      </c>
    </row>
    <row r="57" spans="1:5" x14ac:dyDescent="0.2">
      <c r="A57" s="17">
        <v>7314</v>
      </c>
      <c r="B57">
        <v>0</v>
      </c>
      <c r="C57">
        <v>0</v>
      </c>
      <c r="D57">
        <v>1</v>
      </c>
      <c r="E57">
        <v>1</v>
      </c>
    </row>
    <row r="58" spans="1:5" x14ac:dyDescent="0.2">
      <c r="A58" s="17">
        <v>7315</v>
      </c>
      <c r="B58">
        <v>0</v>
      </c>
      <c r="C58">
        <v>0</v>
      </c>
      <c r="D58">
        <v>1</v>
      </c>
      <c r="E58">
        <v>0</v>
      </c>
    </row>
    <row r="59" spans="1:5" x14ac:dyDescent="0.2">
      <c r="A59" s="17">
        <v>7316</v>
      </c>
      <c r="B59">
        <v>0</v>
      </c>
      <c r="C59">
        <v>0</v>
      </c>
      <c r="D59">
        <v>1</v>
      </c>
      <c r="E59">
        <v>0</v>
      </c>
    </row>
    <row r="60" spans="1:5" x14ac:dyDescent="0.2">
      <c r="A60" s="17">
        <v>7317</v>
      </c>
      <c r="B60">
        <v>0</v>
      </c>
      <c r="C60">
        <v>0</v>
      </c>
      <c r="D60">
        <v>1</v>
      </c>
      <c r="E60">
        <v>0</v>
      </c>
    </row>
    <row r="61" spans="1:5" x14ac:dyDescent="0.2">
      <c r="A61" s="17">
        <v>7319</v>
      </c>
      <c r="B61">
        <v>0</v>
      </c>
      <c r="C61">
        <v>0</v>
      </c>
      <c r="D61">
        <v>1</v>
      </c>
      <c r="E61">
        <v>0</v>
      </c>
    </row>
    <row r="62" spans="1:5" x14ac:dyDescent="0.2">
      <c r="A62" s="17">
        <v>7321</v>
      </c>
      <c r="B62">
        <v>0</v>
      </c>
      <c r="C62">
        <v>0</v>
      </c>
      <c r="D62">
        <v>1</v>
      </c>
      <c r="E62">
        <v>0</v>
      </c>
    </row>
    <row r="63" spans="1:5" x14ac:dyDescent="0.2">
      <c r="A63" s="17">
        <v>7322</v>
      </c>
      <c r="B63">
        <v>0</v>
      </c>
      <c r="C63">
        <v>0</v>
      </c>
      <c r="D63">
        <v>1</v>
      </c>
      <c r="E63">
        <v>0</v>
      </c>
    </row>
    <row r="64" spans="1:5" x14ac:dyDescent="0.2">
      <c r="A64" s="17">
        <v>7324</v>
      </c>
      <c r="B64">
        <v>0</v>
      </c>
      <c r="C64">
        <v>0</v>
      </c>
      <c r="D64">
        <v>1</v>
      </c>
      <c r="E64">
        <v>0</v>
      </c>
    </row>
    <row r="65" spans="1:6" x14ac:dyDescent="0.2">
      <c r="A65" s="17">
        <v>7325</v>
      </c>
      <c r="B65">
        <v>0</v>
      </c>
      <c r="C65">
        <v>0</v>
      </c>
      <c r="D65">
        <v>1</v>
      </c>
      <c r="E65">
        <v>0</v>
      </c>
    </row>
    <row r="66" spans="1:6" x14ac:dyDescent="0.2">
      <c r="A66" s="17">
        <v>7326</v>
      </c>
      <c r="B66">
        <v>0</v>
      </c>
      <c r="C66">
        <v>0</v>
      </c>
      <c r="D66">
        <v>1</v>
      </c>
      <c r="E66">
        <v>0</v>
      </c>
    </row>
    <row r="67" spans="1:6" x14ac:dyDescent="0.2">
      <c r="A67" s="17">
        <v>7327</v>
      </c>
      <c r="B67">
        <v>0</v>
      </c>
      <c r="C67">
        <v>0</v>
      </c>
      <c r="D67">
        <v>1</v>
      </c>
      <c r="E67">
        <v>0</v>
      </c>
    </row>
    <row r="68" spans="1:6" x14ac:dyDescent="0.2">
      <c r="A68" s="17">
        <v>7328</v>
      </c>
      <c r="B68">
        <v>0</v>
      </c>
      <c r="C68">
        <v>0</v>
      </c>
      <c r="D68">
        <v>1</v>
      </c>
      <c r="E68">
        <v>1</v>
      </c>
    </row>
    <row r="69" spans="1:6" x14ac:dyDescent="0.2">
      <c r="A69" s="17">
        <v>7329</v>
      </c>
      <c r="B69">
        <v>0</v>
      </c>
      <c r="C69">
        <v>0</v>
      </c>
      <c r="D69">
        <v>1</v>
      </c>
      <c r="E69">
        <v>0</v>
      </c>
    </row>
    <row r="70" spans="1:6" x14ac:dyDescent="0.2">
      <c r="A70" s="17">
        <v>7330</v>
      </c>
      <c r="B70">
        <v>0</v>
      </c>
      <c r="C70">
        <v>0</v>
      </c>
      <c r="D70">
        <v>1</v>
      </c>
      <c r="E70">
        <v>0</v>
      </c>
    </row>
    <row r="71" spans="1:6" x14ac:dyDescent="0.2">
      <c r="A71" s="17">
        <v>7331</v>
      </c>
      <c r="B71">
        <v>0</v>
      </c>
      <c r="C71">
        <v>0</v>
      </c>
      <c r="D71">
        <v>1</v>
      </c>
      <c r="E71">
        <v>0</v>
      </c>
    </row>
    <row r="72" spans="1:6" x14ac:dyDescent="0.2">
      <c r="A72" s="17">
        <v>7332</v>
      </c>
      <c r="B72">
        <v>0</v>
      </c>
      <c r="C72">
        <v>0</v>
      </c>
      <c r="D72">
        <v>1</v>
      </c>
      <c r="E72">
        <v>0</v>
      </c>
    </row>
    <row r="73" spans="1:6" x14ac:dyDescent="0.2">
      <c r="A73" s="17">
        <v>7334</v>
      </c>
      <c r="B73">
        <v>0</v>
      </c>
      <c r="C73">
        <v>0</v>
      </c>
      <c r="D73">
        <v>1</v>
      </c>
      <c r="E73">
        <v>0</v>
      </c>
    </row>
    <row r="74" spans="1:6" x14ac:dyDescent="0.2">
      <c r="A74" s="17">
        <v>7371</v>
      </c>
      <c r="B74">
        <v>1</v>
      </c>
      <c r="C74">
        <v>0</v>
      </c>
      <c r="D74">
        <v>0</v>
      </c>
      <c r="E74">
        <v>0</v>
      </c>
    </row>
    <row r="75" spans="1:6" x14ac:dyDescent="0.2">
      <c r="A75" s="17">
        <v>7372</v>
      </c>
      <c r="B75">
        <v>1</v>
      </c>
      <c r="C75">
        <v>0</v>
      </c>
      <c r="D75">
        <v>0</v>
      </c>
      <c r="E75">
        <v>0</v>
      </c>
      <c r="F75" t="s">
        <v>32</v>
      </c>
    </row>
    <row r="76" spans="1:6" x14ac:dyDescent="0.2">
      <c r="A76" s="17">
        <v>7373</v>
      </c>
      <c r="B76">
        <v>1</v>
      </c>
      <c r="C76">
        <v>0</v>
      </c>
      <c r="D76">
        <v>0</v>
      </c>
      <c r="E76">
        <v>0</v>
      </c>
    </row>
    <row r="77" spans="1:6" x14ac:dyDescent="0.2">
      <c r="A77" s="17">
        <v>7374</v>
      </c>
      <c r="B77">
        <v>1</v>
      </c>
      <c r="C77">
        <v>0</v>
      </c>
      <c r="D77">
        <v>0</v>
      </c>
      <c r="E77">
        <v>0</v>
      </c>
      <c r="F77" t="s">
        <v>32</v>
      </c>
    </row>
    <row r="78" spans="1:6" x14ac:dyDescent="0.2">
      <c r="A78" s="17">
        <v>7375</v>
      </c>
      <c r="B78">
        <v>1</v>
      </c>
      <c r="C78">
        <v>0</v>
      </c>
      <c r="D78">
        <v>0</v>
      </c>
      <c r="E78">
        <v>0</v>
      </c>
    </row>
    <row r="79" spans="1:6" x14ac:dyDescent="0.2">
      <c r="A79" s="17">
        <v>7376</v>
      </c>
      <c r="B79">
        <v>1</v>
      </c>
      <c r="C79">
        <v>0</v>
      </c>
      <c r="D79">
        <v>0</v>
      </c>
      <c r="E79">
        <v>0</v>
      </c>
      <c r="F79" t="s">
        <v>32</v>
      </c>
    </row>
    <row r="80" spans="1:6" x14ac:dyDescent="0.2">
      <c r="A80" s="17">
        <v>7377</v>
      </c>
      <c r="B80">
        <v>1</v>
      </c>
      <c r="C80">
        <v>0</v>
      </c>
      <c r="D80">
        <v>0</v>
      </c>
      <c r="E80">
        <v>0</v>
      </c>
    </row>
    <row r="81" spans="1:6" x14ac:dyDescent="0.2">
      <c r="A81" s="17">
        <v>7378</v>
      </c>
      <c r="B81">
        <v>1</v>
      </c>
      <c r="C81">
        <v>0</v>
      </c>
      <c r="D81">
        <v>0</v>
      </c>
      <c r="E81">
        <v>0</v>
      </c>
    </row>
    <row r="82" spans="1:6" x14ac:dyDescent="0.2">
      <c r="A82" s="17">
        <v>7379</v>
      </c>
      <c r="B82">
        <v>1</v>
      </c>
      <c r="C82">
        <v>0</v>
      </c>
      <c r="D82">
        <v>0</v>
      </c>
      <c r="E82">
        <v>0</v>
      </c>
    </row>
    <row r="83" spans="1:6" x14ac:dyDescent="0.2">
      <c r="A83" s="17">
        <v>7380</v>
      </c>
      <c r="B83">
        <v>1</v>
      </c>
      <c r="C83">
        <v>0</v>
      </c>
      <c r="D83">
        <v>0</v>
      </c>
      <c r="E83">
        <v>0</v>
      </c>
    </row>
    <row r="84" spans="1:6" x14ac:dyDescent="0.2">
      <c r="A84" s="17">
        <v>7381</v>
      </c>
      <c r="B84">
        <v>1</v>
      </c>
      <c r="C84">
        <v>1</v>
      </c>
      <c r="D84">
        <v>0</v>
      </c>
      <c r="E84">
        <v>0</v>
      </c>
    </row>
    <row r="85" spans="1:6" x14ac:dyDescent="0.2">
      <c r="A85" s="17">
        <v>7382</v>
      </c>
      <c r="B85">
        <v>1</v>
      </c>
      <c r="C85">
        <v>0</v>
      </c>
      <c r="D85">
        <v>0</v>
      </c>
      <c r="E85">
        <v>0</v>
      </c>
    </row>
    <row r="86" spans="1:6" x14ac:dyDescent="0.2">
      <c r="A86" s="17">
        <v>7383</v>
      </c>
      <c r="B86">
        <v>1</v>
      </c>
      <c r="C86">
        <v>0</v>
      </c>
      <c r="D86">
        <v>0</v>
      </c>
      <c r="E86">
        <v>0</v>
      </c>
    </row>
    <row r="87" spans="1:6" x14ac:dyDescent="0.2">
      <c r="A87" s="17">
        <v>7384</v>
      </c>
      <c r="B87">
        <v>1</v>
      </c>
      <c r="C87">
        <v>0</v>
      </c>
      <c r="D87">
        <v>0</v>
      </c>
      <c r="E87">
        <v>0</v>
      </c>
    </row>
    <row r="88" spans="1:6" x14ac:dyDescent="0.2">
      <c r="A88" s="17">
        <v>7385</v>
      </c>
      <c r="B88">
        <v>1</v>
      </c>
      <c r="C88">
        <v>0</v>
      </c>
      <c r="D88">
        <v>0</v>
      </c>
      <c r="E88">
        <v>1</v>
      </c>
      <c r="F88" t="s">
        <v>33</v>
      </c>
    </row>
    <row r="89" spans="1:6" x14ac:dyDescent="0.2">
      <c r="A89" s="17">
        <v>7386</v>
      </c>
      <c r="B89">
        <v>1</v>
      </c>
      <c r="C89">
        <v>0</v>
      </c>
      <c r="D89">
        <v>0</v>
      </c>
      <c r="E89">
        <v>0</v>
      </c>
    </row>
    <row r="90" spans="1:6" x14ac:dyDescent="0.2">
      <c r="A90" s="17">
        <v>7387</v>
      </c>
      <c r="B90">
        <v>1</v>
      </c>
      <c r="C90">
        <v>0</v>
      </c>
      <c r="D90">
        <v>0</v>
      </c>
      <c r="E90">
        <v>0</v>
      </c>
    </row>
    <row r="91" spans="1:6" x14ac:dyDescent="0.2">
      <c r="A91" s="17">
        <v>7388</v>
      </c>
      <c r="B91">
        <v>1</v>
      </c>
      <c r="C91">
        <v>0</v>
      </c>
      <c r="D91">
        <v>0</v>
      </c>
      <c r="E91">
        <v>0</v>
      </c>
    </row>
    <row r="92" spans="1:6" x14ac:dyDescent="0.2">
      <c r="A92" s="17">
        <v>7389</v>
      </c>
      <c r="B92">
        <v>1</v>
      </c>
      <c r="C92">
        <v>0</v>
      </c>
      <c r="D92">
        <v>0</v>
      </c>
      <c r="E92">
        <v>0</v>
      </c>
    </row>
    <row r="93" spans="1:6" x14ac:dyDescent="0.2">
      <c r="A93" s="17">
        <v>7390</v>
      </c>
      <c r="B93">
        <v>1</v>
      </c>
      <c r="C93">
        <v>0</v>
      </c>
      <c r="D93">
        <v>0</v>
      </c>
      <c r="E93">
        <v>0</v>
      </c>
    </row>
    <row r="94" spans="1:6" x14ac:dyDescent="0.2">
      <c r="A94" s="17">
        <v>7391</v>
      </c>
      <c r="B94">
        <v>1</v>
      </c>
      <c r="C94">
        <v>0</v>
      </c>
      <c r="D94">
        <v>0</v>
      </c>
      <c r="E94">
        <v>0</v>
      </c>
    </row>
    <row r="95" spans="1:6" x14ac:dyDescent="0.2">
      <c r="A95" s="17">
        <v>7392</v>
      </c>
      <c r="B95">
        <v>1</v>
      </c>
      <c r="C95">
        <v>0</v>
      </c>
      <c r="D95">
        <v>0</v>
      </c>
      <c r="E95">
        <v>0</v>
      </c>
    </row>
    <row r="96" spans="1:6" x14ac:dyDescent="0.2">
      <c r="A96" s="17">
        <v>7393</v>
      </c>
      <c r="B96">
        <v>1</v>
      </c>
      <c r="C96">
        <v>0</v>
      </c>
      <c r="D96">
        <v>0</v>
      </c>
      <c r="E96">
        <v>0</v>
      </c>
    </row>
    <row r="97" spans="1:5" x14ac:dyDescent="0.2">
      <c r="A97" s="17">
        <v>7394</v>
      </c>
      <c r="B97">
        <v>1</v>
      </c>
      <c r="C97">
        <v>0</v>
      </c>
      <c r="D97">
        <v>0</v>
      </c>
      <c r="E97">
        <v>0</v>
      </c>
    </row>
    <row r="98" spans="1:5" x14ac:dyDescent="0.2">
      <c r="A98" s="17">
        <v>7396</v>
      </c>
      <c r="B98">
        <v>1</v>
      </c>
      <c r="C98">
        <v>0</v>
      </c>
      <c r="D98">
        <v>0</v>
      </c>
      <c r="E98">
        <v>0</v>
      </c>
    </row>
    <row r="99" spans="1:5" x14ac:dyDescent="0.2">
      <c r="A99" s="17">
        <v>7398</v>
      </c>
      <c r="B99">
        <v>1</v>
      </c>
      <c r="C99">
        <v>0</v>
      </c>
      <c r="D99">
        <v>0</v>
      </c>
      <c r="E99">
        <v>0</v>
      </c>
    </row>
    <row r="100" spans="1:5" x14ac:dyDescent="0.2">
      <c r="A100" s="17">
        <v>7400</v>
      </c>
      <c r="B100">
        <v>0</v>
      </c>
      <c r="C100">
        <v>1</v>
      </c>
      <c r="D100">
        <v>0</v>
      </c>
      <c r="E100">
        <v>0</v>
      </c>
    </row>
    <row r="101" spans="1:5" x14ac:dyDescent="0.2">
      <c r="A101" s="17">
        <v>7401</v>
      </c>
      <c r="B101">
        <v>0</v>
      </c>
      <c r="C101">
        <v>1</v>
      </c>
      <c r="D101">
        <v>0</v>
      </c>
      <c r="E101">
        <v>0</v>
      </c>
    </row>
    <row r="102" spans="1:5" x14ac:dyDescent="0.2">
      <c r="A102" s="17">
        <v>7402</v>
      </c>
      <c r="B102">
        <v>0</v>
      </c>
      <c r="C102">
        <v>1</v>
      </c>
      <c r="D102">
        <v>0</v>
      </c>
      <c r="E102">
        <v>0</v>
      </c>
    </row>
    <row r="103" spans="1:5" x14ac:dyDescent="0.2">
      <c r="A103" s="17">
        <v>7403</v>
      </c>
      <c r="B103">
        <v>0</v>
      </c>
      <c r="C103">
        <v>1</v>
      </c>
      <c r="D103">
        <v>0</v>
      </c>
      <c r="E103">
        <v>1</v>
      </c>
    </row>
    <row r="104" spans="1:5" x14ac:dyDescent="0.2">
      <c r="A104" s="17">
        <v>7404</v>
      </c>
      <c r="B104">
        <v>0</v>
      </c>
      <c r="C104">
        <v>1</v>
      </c>
      <c r="D104">
        <v>0</v>
      </c>
      <c r="E104">
        <v>0</v>
      </c>
    </row>
    <row r="105" spans="1:5" x14ac:dyDescent="0.2">
      <c r="A105" s="17">
        <v>7405</v>
      </c>
      <c r="B105">
        <v>0</v>
      </c>
      <c r="C105">
        <v>1</v>
      </c>
      <c r="D105">
        <v>0</v>
      </c>
      <c r="E105">
        <v>0</v>
      </c>
    </row>
    <row r="106" spans="1:5" x14ac:dyDescent="0.2">
      <c r="A106" s="17">
        <v>7406</v>
      </c>
      <c r="B106">
        <v>0</v>
      </c>
      <c r="C106">
        <v>1</v>
      </c>
      <c r="D106">
        <v>0</v>
      </c>
      <c r="E106">
        <v>0</v>
      </c>
    </row>
    <row r="107" spans="1:5" x14ac:dyDescent="0.2">
      <c r="A107" s="17">
        <v>7407</v>
      </c>
      <c r="B107">
        <v>0</v>
      </c>
      <c r="C107">
        <v>1</v>
      </c>
      <c r="D107">
        <v>0</v>
      </c>
      <c r="E107">
        <v>0</v>
      </c>
    </row>
    <row r="108" spans="1:5" x14ac:dyDescent="0.2">
      <c r="A108" s="17">
        <v>7408</v>
      </c>
      <c r="B108">
        <v>0</v>
      </c>
      <c r="C108">
        <v>1</v>
      </c>
      <c r="D108">
        <v>0</v>
      </c>
      <c r="E108">
        <v>0</v>
      </c>
    </row>
    <row r="109" spans="1:5" x14ac:dyDescent="0.2">
      <c r="A109" s="17">
        <v>7409</v>
      </c>
      <c r="B109">
        <v>0</v>
      </c>
      <c r="C109">
        <v>1</v>
      </c>
      <c r="D109">
        <v>0</v>
      </c>
      <c r="E109">
        <v>0</v>
      </c>
    </row>
    <row r="110" spans="1:5" x14ac:dyDescent="0.2">
      <c r="A110" s="17">
        <v>7410</v>
      </c>
      <c r="B110">
        <v>0</v>
      </c>
      <c r="C110">
        <v>1</v>
      </c>
      <c r="D110">
        <v>0</v>
      </c>
      <c r="E110">
        <v>0</v>
      </c>
    </row>
    <row r="111" spans="1:5" x14ac:dyDescent="0.2">
      <c r="A111" s="17">
        <v>7413</v>
      </c>
      <c r="B111">
        <v>0</v>
      </c>
      <c r="C111">
        <v>0</v>
      </c>
      <c r="D111">
        <v>1</v>
      </c>
      <c r="E111">
        <v>0</v>
      </c>
    </row>
    <row r="112" spans="1:5" x14ac:dyDescent="0.2">
      <c r="A112" s="17">
        <v>7414</v>
      </c>
      <c r="B112">
        <v>0</v>
      </c>
      <c r="C112">
        <v>0</v>
      </c>
      <c r="D112">
        <v>1</v>
      </c>
      <c r="E112">
        <v>0</v>
      </c>
    </row>
    <row r="113" spans="1:6" x14ac:dyDescent="0.2">
      <c r="A113" s="17">
        <v>7415</v>
      </c>
      <c r="B113">
        <v>0</v>
      </c>
      <c r="C113">
        <v>0</v>
      </c>
      <c r="D113">
        <v>1</v>
      </c>
      <c r="E113">
        <v>0</v>
      </c>
    </row>
    <row r="114" spans="1:6" x14ac:dyDescent="0.2">
      <c r="A114" s="17">
        <v>7416</v>
      </c>
      <c r="B114">
        <v>0</v>
      </c>
      <c r="C114">
        <v>0</v>
      </c>
      <c r="D114">
        <v>1</v>
      </c>
      <c r="E114">
        <v>0</v>
      </c>
    </row>
    <row r="115" spans="1:6" x14ac:dyDescent="0.2">
      <c r="A115" s="17">
        <v>7417</v>
      </c>
      <c r="B115">
        <v>0</v>
      </c>
      <c r="C115">
        <v>0</v>
      </c>
      <c r="D115">
        <v>1</v>
      </c>
      <c r="E115">
        <v>0</v>
      </c>
    </row>
    <row r="116" spans="1:6" x14ac:dyDescent="0.2">
      <c r="A116" s="17">
        <v>7419</v>
      </c>
      <c r="B116">
        <v>0</v>
      </c>
      <c r="C116">
        <v>0</v>
      </c>
      <c r="D116">
        <v>1</v>
      </c>
      <c r="E116">
        <v>0</v>
      </c>
    </row>
    <row r="117" spans="1:6" x14ac:dyDescent="0.2">
      <c r="A117" s="17">
        <v>7421</v>
      </c>
      <c r="B117">
        <v>0</v>
      </c>
      <c r="C117">
        <v>0</v>
      </c>
      <c r="D117">
        <v>1</v>
      </c>
      <c r="E117">
        <v>0</v>
      </c>
      <c r="F117" t="s">
        <v>32</v>
      </c>
    </row>
    <row r="118" spans="1:6" x14ac:dyDescent="0.2">
      <c r="A118" s="17">
        <v>7422</v>
      </c>
      <c r="B118">
        <v>0</v>
      </c>
      <c r="C118">
        <v>0</v>
      </c>
      <c r="D118">
        <v>1</v>
      </c>
      <c r="E118">
        <v>0</v>
      </c>
    </row>
    <row r="119" spans="1:6" x14ac:dyDescent="0.2">
      <c r="A119" s="17">
        <v>7423</v>
      </c>
      <c r="B119">
        <v>0</v>
      </c>
      <c r="C119">
        <v>0</v>
      </c>
      <c r="D119">
        <v>1</v>
      </c>
      <c r="E119">
        <v>0</v>
      </c>
    </row>
    <row r="120" spans="1:6" x14ac:dyDescent="0.2">
      <c r="A120" s="17">
        <v>7424</v>
      </c>
      <c r="B120">
        <v>0</v>
      </c>
      <c r="C120">
        <v>0</v>
      </c>
      <c r="D120">
        <v>1</v>
      </c>
      <c r="E120">
        <v>0</v>
      </c>
    </row>
    <row r="121" spans="1:6" x14ac:dyDescent="0.2">
      <c r="A121" s="17">
        <v>7425</v>
      </c>
      <c r="B121">
        <v>0</v>
      </c>
      <c r="C121">
        <v>0</v>
      </c>
      <c r="D121">
        <v>1</v>
      </c>
      <c r="E121">
        <v>0</v>
      </c>
    </row>
    <row r="122" spans="1:6" x14ac:dyDescent="0.2">
      <c r="A122" s="17">
        <v>7426</v>
      </c>
      <c r="B122">
        <v>0</v>
      </c>
      <c r="C122">
        <v>0</v>
      </c>
      <c r="D122">
        <v>1</v>
      </c>
      <c r="E122">
        <v>0</v>
      </c>
    </row>
    <row r="123" spans="1:6" x14ac:dyDescent="0.2">
      <c r="A123" s="17">
        <v>7426</v>
      </c>
      <c r="B123">
        <v>0</v>
      </c>
      <c r="C123">
        <v>0</v>
      </c>
      <c r="D123">
        <v>1</v>
      </c>
      <c r="E123">
        <v>0</v>
      </c>
    </row>
    <row r="124" spans="1:6" x14ac:dyDescent="0.2">
      <c r="A124" s="17">
        <v>7427</v>
      </c>
      <c r="B124">
        <v>0</v>
      </c>
      <c r="C124">
        <v>0</v>
      </c>
      <c r="D124">
        <v>1</v>
      </c>
      <c r="E124">
        <v>0</v>
      </c>
    </row>
    <row r="125" spans="1:6" x14ac:dyDescent="0.2">
      <c r="A125" s="17">
        <v>7428</v>
      </c>
      <c r="B125">
        <v>0</v>
      </c>
      <c r="C125">
        <v>0</v>
      </c>
      <c r="D125">
        <v>1</v>
      </c>
      <c r="E125">
        <v>0</v>
      </c>
      <c r="F125" t="s">
        <v>32</v>
      </c>
    </row>
    <row r="126" spans="1:6" x14ac:dyDescent="0.2">
      <c r="A126" s="17">
        <v>7429</v>
      </c>
      <c r="B126">
        <v>0</v>
      </c>
      <c r="C126">
        <v>0</v>
      </c>
      <c r="D126">
        <v>1</v>
      </c>
      <c r="E126">
        <v>0</v>
      </c>
    </row>
    <row r="127" spans="1:6" x14ac:dyDescent="0.2">
      <c r="A127" s="17">
        <v>7431</v>
      </c>
      <c r="B127">
        <v>0</v>
      </c>
      <c r="C127">
        <v>0</v>
      </c>
      <c r="D127">
        <v>1</v>
      </c>
      <c r="E127">
        <v>0</v>
      </c>
    </row>
    <row r="128" spans="1:6" x14ac:dyDescent="0.2">
      <c r="A128" s="17">
        <v>7432</v>
      </c>
      <c r="B128">
        <v>0</v>
      </c>
      <c r="C128">
        <v>0</v>
      </c>
      <c r="D128">
        <v>1</v>
      </c>
      <c r="E128">
        <v>0</v>
      </c>
    </row>
    <row r="129" spans="1:6" x14ac:dyDescent="0.2">
      <c r="A129" s="17">
        <v>7433</v>
      </c>
      <c r="B129">
        <v>0</v>
      </c>
      <c r="C129">
        <v>0</v>
      </c>
      <c r="D129">
        <v>1</v>
      </c>
      <c r="E129">
        <v>0</v>
      </c>
    </row>
    <row r="130" spans="1:6" x14ac:dyDescent="0.2">
      <c r="A130" s="17">
        <v>7434</v>
      </c>
      <c r="B130">
        <v>0</v>
      </c>
      <c r="C130">
        <v>0</v>
      </c>
      <c r="D130">
        <v>1</v>
      </c>
      <c r="E130">
        <v>1</v>
      </c>
    </row>
    <row r="131" spans="1:6" x14ac:dyDescent="0.2">
      <c r="A131" s="17">
        <v>7435</v>
      </c>
      <c r="B131">
        <v>0</v>
      </c>
      <c r="C131">
        <v>0</v>
      </c>
      <c r="D131">
        <v>1</v>
      </c>
      <c r="E131">
        <v>0</v>
      </c>
    </row>
    <row r="132" spans="1:6" x14ac:dyDescent="0.2">
      <c r="A132" s="17">
        <v>7461</v>
      </c>
      <c r="B132">
        <v>1</v>
      </c>
      <c r="C132">
        <v>0</v>
      </c>
      <c r="D132">
        <v>0</v>
      </c>
      <c r="E132">
        <v>0</v>
      </c>
    </row>
    <row r="133" spans="1:6" x14ac:dyDescent="0.2">
      <c r="A133" s="17">
        <v>7462</v>
      </c>
      <c r="B133">
        <v>1</v>
      </c>
      <c r="C133">
        <v>0</v>
      </c>
      <c r="D133">
        <v>0</v>
      </c>
      <c r="E133">
        <v>0</v>
      </c>
    </row>
    <row r="134" spans="1:6" x14ac:dyDescent="0.2">
      <c r="A134" s="17">
        <v>7463</v>
      </c>
      <c r="B134">
        <v>1</v>
      </c>
      <c r="C134">
        <v>0</v>
      </c>
      <c r="D134">
        <v>0</v>
      </c>
      <c r="E134">
        <v>0</v>
      </c>
    </row>
    <row r="135" spans="1:6" x14ac:dyDescent="0.2">
      <c r="A135" s="17">
        <v>7464</v>
      </c>
      <c r="B135">
        <v>1</v>
      </c>
      <c r="C135">
        <v>0</v>
      </c>
      <c r="D135">
        <v>0</v>
      </c>
      <c r="E135">
        <v>0</v>
      </c>
    </row>
    <row r="136" spans="1:6" x14ac:dyDescent="0.2">
      <c r="A136" s="17">
        <v>7465</v>
      </c>
      <c r="B136">
        <v>1</v>
      </c>
      <c r="C136">
        <v>0</v>
      </c>
      <c r="D136">
        <v>0</v>
      </c>
      <c r="E136">
        <v>0</v>
      </c>
      <c r="F136" t="s">
        <v>32</v>
      </c>
    </row>
    <row r="137" spans="1:6" x14ac:dyDescent="0.2">
      <c r="A137" s="17">
        <v>7466</v>
      </c>
      <c r="B137">
        <v>1</v>
      </c>
      <c r="C137">
        <v>0</v>
      </c>
      <c r="D137">
        <v>0</v>
      </c>
      <c r="E137">
        <v>0</v>
      </c>
    </row>
    <row r="138" spans="1:6" x14ac:dyDescent="0.2">
      <c r="A138" s="17">
        <v>7467</v>
      </c>
      <c r="B138">
        <v>1</v>
      </c>
      <c r="C138">
        <v>0</v>
      </c>
      <c r="D138">
        <v>0</v>
      </c>
      <c r="E138">
        <v>0</v>
      </c>
    </row>
    <row r="139" spans="1:6" x14ac:dyDescent="0.2">
      <c r="A139" s="17">
        <v>7468</v>
      </c>
      <c r="B139">
        <v>1</v>
      </c>
      <c r="C139">
        <v>0</v>
      </c>
      <c r="D139">
        <v>0</v>
      </c>
      <c r="E139">
        <v>0</v>
      </c>
    </row>
    <row r="140" spans="1:6" x14ac:dyDescent="0.2">
      <c r="A140" s="17">
        <v>7469</v>
      </c>
      <c r="B140">
        <v>1</v>
      </c>
      <c r="C140">
        <v>0</v>
      </c>
      <c r="D140">
        <v>0</v>
      </c>
      <c r="E140">
        <v>0</v>
      </c>
    </row>
    <row r="141" spans="1:6" x14ac:dyDescent="0.2">
      <c r="A141" s="17">
        <v>7482</v>
      </c>
      <c r="B141">
        <v>1</v>
      </c>
      <c r="C141">
        <v>0</v>
      </c>
      <c r="D141">
        <v>0</v>
      </c>
      <c r="E141">
        <v>1</v>
      </c>
      <c r="F141" t="s">
        <v>33</v>
      </c>
    </row>
    <row r="142" spans="1:6" x14ac:dyDescent="0.2">
      <c r="A142" s="17">
        <v>7483</v>
      </c>
      <c r="B142">
        <v>1</v>
      </c>
      <c r="C142">
        <v>0</v>
      </c>
      <c r="D142">
        <v>0</v>
      </c>
      <c r="E142">
        <v>0</v>
      </c>
    </row>
    <row r="143" spans="1:6" x14ac:dyDescent="0.2">
      <c r="A143" s="17">
        <v>7484</v>
      </c>
      <c r="B143">
        <v>1</v>
      </c>
      <c r="C143">
        <v>0</v>
      </c>
      <c r="D143">
        <v>0</v>
      </c>
      <c r="E143">
        <v>0</v>
      </c>
    </row>
    <row r="144" spans="1:6" x14ac:dyDescent="0.2">
      <c r="A144" s="17">
        <v>7485</v>
      </c>
      <c r="B144">
        <v>1</v>
      </c>
      <c r="C144">
        <v>0</v>
      </c>
      <c r="D144">
        <v>0</v>
      </c>
      <c r="E144">
        <v>0</v>
      </c>
    </row>
    <row r="145" spans="1:6" x14ac:dyDescent="0.2">
      <c r="A145" s="17">
        <v>7486</v>
      </c>
      <c r="B145">
        <v>0</v>
      </c>
      <c r="C145">
        <v>0</v>
      </c>
      <c r="D145">
        <v>1</v>
      </c>
      <c r="E145">
        <v>0</v>
      </c>
    </row>
    <row r="146" spans="1:6" x14ac:dyDescent="0.2">
      <c r="A146" s="17">
        <v>7487</v>
      </c>
      <c r="B146">
        <v>0</v>
      </c>
      <c r="C146">
        <v>0</v>
      </c>
      <c r="D146">
        <v>1</v>
      </c>
      <c r="E146">
        <v>0</v>
      </c>
    </row>
    <row r="147" spans="1:6" x14ac:dyDescent="0.2">
      <c r="A147" s="17">
        <v>7488</v>
      </c>
      <c r="B147">
        <v>0</v>
      </c>
      <c r="C147">
        <v>0</v>
      </c>
      <c r="D147">
        <v>1</v>
      </c>
      <c r="E147">
        <v>0</v>
      </c>
    </row>
    <row r="148" spans="1:6" x14ac:dyDescent="0.2">
      <c r="A148" s="17">
        <v>7489</v>
      </c>
      <c r="B148">
        <v>0</v>
      </c>
      <c r="C148">
        <v>0</v>
      </c>
      <c r="D148">
        <v>1</v>
      </c>
      <c r="E148">
        <v>0</v>
      </c>
    </row>
    <row r="149" spans="1:6" x14ac:dyDescent="0.2">
      <c r="A149" s="17">
        <v>7491</v>
      </c>
      <c r="B149">
        <v>0</v>
      </c>
      <c r="C149">
        <v>0</v>
      </c>
      <c r="D149">
        <v>1</v>
      </c>
      <c r="E149">
        <v>0</v>
      </c>
    </row>
    <row r="150" spans="1:6" x14ac:dyDescent="0.2">
      <c r="A150" s="17">
        <v>7492</v>
      </c>
      <c r="B150">
        <v>0</v>
      </c>
      <c r="C150">
        <v>0</v>
      </c>
      <c r="D150">
        <v>1</v>
      </c>
      <c r="E150">
        <v>0</v>
      </c>
    </row>
    <row r="151" spans="1:6" x14ac:dyDescent="0.2">
      <c r="A151" s="17">
        <v>7493</v>
      </c>
      <c r="B151">
        <v>0</v>
      </c>
      <c r="C151">
        <v>0</v>
      </c>
      <c r="D151">
        <v>1</v>
      </c>
      <c r="E151">
        <v>0</v>
      </c>
      <c r="F151" t="s">
        <v>32</v>
      </c>
    </row>
    <row r="152" spans="1:6" x14ac:dyDescent="0.2">
      <c r="A152" s="17">
        <v>7494</v>
      </c>
      <c r="B152">
        <v>0</v>
      </c>
      <c r="C152">
        <v>0</v>
      </c>
      <c r="D152">
        <v>1</v>
      </c>
      <c r="E152">
        <v>0</v>
      </c>
    </row>
    <row r="153" spans="1:6" x14ac:dyDescent="0.2">
      <c r="A153" s="17">
        <v>7495</v>
      </c>
      <c r="B153">
        <v>0</v>
      </c>
      <c r="C153">
        <v>0</v>
      </c>
      <c r="D153">
        <v>1</v>
      </c>
      <c r="E153">
        <v>0</v>
      </c>
    </row>
    <row r="154" spans="1:6" x14ac:dyDescent="0.2">
      <c r="A154" s="17">
        <v>7497</v>
      </c>
      <c r="B154">
        <v>0</v>
      </c>
      <c r="C154">
        <v>0</v>
      </c>
      <c r="D154">
        <v>1</v>
      </c>
      <c r="E154">
        <v>0</v>
      </c>
    </row>
    <row r="155" spans="1:6" x14ac:dyDescent="0.2">
      <c r="A155" s="17">
        <v>7498</v>
      </c>
      <c r="B155">
        <v>0</v>
      </c>
      <c r="C155">
        <v>0</v>
      </c>
      <c r="D155">
        <v>1</v>
      </c>
      <c r="E155">
        <v>0</v>
      </c>
    </row>
    <row r="156" spans="1:6" x14ac:dyDescent="0.2">
      <c r="A156" s="17">
        <v>7499</v>
      </c>
      <c r="B156">
        <v>0</v>
      </c>
      <c r="C156">
        <v>0</v>
      </c>
      <c r="D156">
        <v>1</v>
      </c>
      <c r="E156">
        <v>0</v>
      </c>
    </row>
    <row r="157" spans="1:6" x14ac:dyDescent="0.2">
      <c r="A157" s="17">
        <v>7500</v>
      </c>
      <c r="B157">
        <v>0</v>
      </c>
      <c r="C157">
        <v>0</v>
      </c>
      <c r="D157">
        <v>1</v>
      </c>
      <c r="E157">
        <v>1</v>
      </c>
    </row>
    <row r="158" spans="1:6" x14ac:dyDescent="0.2">
      <c r="A158" s="17">
        <v>7502</v>
      </c>
      <c r="B158">
        <v>0</v>
      </c>
      <c r="C158">
        <v>0</v>
      </c>
      <c r="D158">
        <v>1</v>
      </c>
      <c r="E158">
        <v>0</v>
      </c>
    </row>
    <row r="159" spans="1:6" x14ac:dyDescent="0.2">
      <c r="A159" s="17">
        <v>7504</v>
      </c>
      <c r="B159">
        <v>0</v>
      </c>
      <c r="C159">
        <v>0</v>
      </c>
      <c r="D159">
        <v>1</v>
      </c>
      <c r="E159">
        <v>0</v>
      </c>
    </row>
    <row r="160" spans="1:6" x14ac:dyDescent="0.2">
      <c r="A160" s="17">
        <v>7505</v>
      </c>
      <c r="B160">
        <v>0</v>
      </c>
      <c r="C160">
        <v>0</v>
      </c>
      <c r="D160">
        <v>1</v>
      </c>
      <c r="E160">
        <v>0</v>
      </c>
    </row>
    <row r="161" spans="1:6" x14ac:dyDescent="0.2">
      <c r="A161" s="17">
        <v>7506</v>
      </c>
      <c r="B161">
        <v>0</v>
      </c>
      <c r="C161">
        <v>0</v>
      </c>
      <c r="D161">
        <v>1</v>
      </c>
      <c r="E161">
        <v>0</v>
      </c>
    </row>
    <row r="162" spans="1:6" x14ac:dyDescent="0.2">
      <c r="A162" s="17">
        <v>7507</v>
      </c>
      <c r="B162">
        <v>0</v>
      </c>
      <c r="C162">
        <v>0</v>
      </c>
      <c r="D162">
        <v>1</v>
      </c>
      <c r="E162">
        <v>0</v>
      </c>
    </row>
    <row r="163" spans="1:6" x14ac:dyDescent="0.2">
      <c r="A163" s="17">
        <v>7508</v>
      </c>
      <c r="B163">
        <v>0</v>
      </c>
      <c r="C163">
        <v>0</v>
      </c>
      <c r="D163">
        <v>1</v>
      </c>
      <c r="E163">
        <v>0</v>
      </c>
    </row>
    <row r="164" spans="1:6" x14ac:dyDescent="0.2">
      <c r="A164" s="17">
        <v>7509</v>
      </c>
      <c r="B164">
        <v>0</v>
      </c>
      <c r="C164">
        <v>0</v>
      </c>
      <c r="D164">
        <v>1</v>
      </c>
      <c r="E164">
        <v>0</v>
      </c>
    </row>
    <row r="165" spans="1:6" x14ac:dyDescent="0.2">
      <c r="A165" s="17">
        <v>7510</v>
      </c>
      <c r="B165">
        <v>0</v>
      </c>
      <c r="C165">
        <v>0</v>
      </c>
      <c r="D165">
        <v>1</v>
      </c>
      <c r="E165">
        <v>0</v>
      </c>
      <c r="F165" t="s">
        <v>32</v>
      </c>
    </row>
    <row r="166" spans="1:6" x14ac:dyDescent="0.2">
      <c r="A166" s="17">
        <v>7511</v>
      </c>
      <c r="B166">
        <v>0</v>
      </c>
      <c r="C166">
        <v>0</v>
      </c>
      <c r="D166">
        <v>1</v>
      </c>
      <c r="E166">
        <v>1</v>
      </c>
      <c r="F166" t="s">
        <v>33</v>
      </c>
    </row>
    <row r="167" spans="1:6" x14ac:dyDescent="0.2">
      <c r="A167" s="17">
        <v>7512</v>
      </c>
      <c r="B167">
        <v>0</v>
      </c>
      <c r="C167">
        <v>0</v>
      </c>
      <c r="D167">
        <v>1</v>
      </c>
      <c r="E167">
        <v>0</v>
      </c>
    </row>
    <row r="168" spans="1:6" x14ac:dyDescent="0.2">
      <c r="A168" s="17">
        <v>7513</v>
      </c>
      <c r="B168">
        <v>0</v>
      </c>
      <c r="C168">
        <v>0</v>
      </c>
      <c r="D168">
        <v>1</v>
      </c>
      <c r="E168">
        <v>0</v>
      </c>
    </row>
    <row r="169" spans="1:6" x14ac:dyDescent="0.2">
      <c r="A169" s="17">
        <v>7515</v>
      </c>
      <c r="B169">
        <v>0</v>
      </c>
      <c r="C169">
        <v>0</v>
      </c>
      <c r="D169">
        <v>1</v>
      </c>
      <c r="E169">
        <v>1</v>
      </c>
      <c r="F169" t="s">
        <v>33</v>
      </c>
    </row>
    <row r="170" spans="1:6" x14ac:dyDescent="0.2">
      <c r="A170" s="17">
        <v>7516</v>
      </c>
      <c r="B170">
        <v>0</v>
      </c>
      <c r="C170">
        <v>0</v>
      </c>
      <c r="D170">
        <v>1</v>
      </c>
      <c r="E170">
        <v>0</v>
      </c>
    </row>
    <row r="171" spans="1:6" x14ac:dyDescent="0.2">
      <c r="A171" s="17">
        <v>7519</v>
      </c>
      <c r="B171">
        <v>0</v>
      </c>
      <c r="C171">
        <v>0</v>
      </c>
      <c r="D171">
        <v>1</v>
      </c>
      <c r="E171">
        <v>0</v>
      </c>
    </row>
    <row r="172" spans="1:6" x14ac:dyDescent="0.2">
      <c r="A172" s="17">
        <v>7520</v>
      </c>
      <c r="B172">
        <v>0</v>
      </c>
      <c r="C172">
        <v>0</v>
      </c>
      <c r="D172">
        <v>1</v>
      </c>
      <c r="E172">
        <v>0</v>
      </c>
    </row>
    <row r="173" spans="1:6" x14ac:dyDescent="0.2">
      <c r="A173" s="17">
        <v>7521</v>
      </c>
      <c r="B173">
        <v>0</v>
      </c>
      <c r="C173">
        <v>0</v>
      </c>
      <c r="D173">
        <v>1</v>
      </c>
      <c r="E173">
        <v>0</v>
      </c>
    </row>
    <row r="174" spans="1:6" x14ac:dyDescent="0.2">
      <c r="A174" s="17">
        <v>7522</v>
      </c>
      <c r="B174">
        <v>0</v>
      </c>
      <c r="C174">
        <v>0</v>
      </c>
      <c r="D174">
        <v>1</v>
      </c>
      <c r="E174">
        <v>0</v>
      </c>
    </row>
    <row r="175" spans="1:6" x14ac:dyDescent="0.2">
      <c r="A175" s="17">
        <v>7523</v>
      </c>
      <c r="B175">
        <v>0</v>
      </c>
      <c r="C175">
        <v>0</v>
      </c>
      <c r="D175">
        <v>1</v>
      </c>
      <c r="E175">
        <v>0</v>
      </c>
    </row>
    <row r="176" spans="1:6" x14ac:dyDescent="0.2">
      <c r="A176" s="17">
        <v>7524</v>
      </c>
      <c r="B176">
        <v>0</v>
      </c>
      <c r="C176">
        <v>0</v>
      </c>
      <c r="D176">
        <v>1</v>
      </c>
      <c r="E176">
        <v>0</v>
      </c>
    </row>
    <row r="177" spans="1:6" x14ac:dyDescent="0.2">
      <c r="A177" s="17">
        <v>7525</v>
      </c>
      <c r="B177">
        <v>0</v>
      </c>
      <c r="C177">
        <v>0</v>
      </c>
      <c r="D177">
        <v>1</v>
      </c>
      <c r="E177">
        <v>0</v>
      </c>
    </row>
    <row r="178" spans="1:6" x14ac:dyDescent="0.2">
      <c r="A178" s="17">
        <v>7526</v>
      </c>
      <c r="B178">
        <v>0</v>
      </c>
      <c r="C178">
        <v>0</v>
      </c>
      <c r="D178">
        <v>1</v>
      </c>
      <c r="E178">
        <v>0</v>
      </c>
    </row>
    <row r="179" spans="1:6" x14ac:dyDescent="0.2">
      <c r="A179" s="17">
        <v>7527</v>
      </c>
      <c r="B179">
        <v>0</v>
      </c>
      <c r="C179">
        <v>0</v>
      </c>
      <c r="D179">
        <v>1</v>
      </c>
      <c r="E179">
        <v>0</v>
      </c>
    </row>
    <row r="180" spans="1:6" x14ac:dyDescent="0.2">
      <c r="A180" s="17">
        <v>7528</v>
      </c>
      <c r="B180">
        <v>0</v>
      </c>
      <c r="C180">
        <v>0</v>
      </c>
      <c r="D180">
        <v>1</v>
      </c>
      <c r="E180">
        <v>0</v>
      </c>
    </row>
    <row r="181" spans="1:6" x14ac:dyDescent="0.2">
      <c r="A181" s="17">
        <v>7530</v>
      </c>
      <c r="B181">
        <v>0</v>
      </c>
      <c r="C181">
        <v>0</v>
      </c>
      <c r="D181">
        <v>1</v>
      </c>
      <c r="E181">
        <v>0</v>
      </c>
    </row>
    <row r="182" spans="1:6" x14ac:dyDescent="0.2">
      <c r="A182" s="17">
        <v>7531</v>
      </c>
      <c r="B182">
        <v>0</v>
      </c>
      <c r="C182">
        <v>0</v>
      </c>
      <c r="D182">
        <v>1</v>
      </c>
      <c r="E182">
        <v>0</v>
      </c>
    </row>
    <row r="183" spans="1:6" x14ac:dyDescent="0.2">
      <c r="A183" s="17">
        <v>7532</v>
      </c>
      <c r="B183">
        <v>0</v>
      </c>
      <c r="C183">
        <v>0</v>
      </c>
      <c r="D183">
        <v>1</v>
      </c>
      <c r="E183">
        <v>1</v>
      </c>
      <c r="F183" t="s">
        <v>33</v>
      </c>
    </row>
    <row r="184" spans="1:6" x14ac:dyDescent="0.2">
      <c r="A184" s="17">
        <v>7533</v>
      </c>
      <c r="B184">
        <v>0</v>
      </c>
      <c r="C184">
        <v>0</v>
      </c>
      <c r="D184">
        <v>1</v>
      </c>
      <c r="E184">
        <v>0</v>
      </c>
    </row>
    <row r="185" spans="1:6" x14ac:dyDescent="0.2">
      <c r="A185" s="17">
        <v>7534</v>
      </c>
      <c r="B185">
        <v>0</v>
      </c>
      <c r="C185">
        <v>0</v>
      </c>
      <c r="D185">
        <v>1</v>
      </c>
      <c r="E185">
        <v>0</v>
      </c>
    </row>
    <row r="186" spans="1:6" x14ac:dyDescent="0.2">
      <c r="A186" s="17">
        <v>7535</v>
      </c>
      <c r="B186">
        <v>0</v>
      </c>
      <c r="C186">
        <v>0</v>
      </c>
      <c r="D186">
        <v>1</v>
      </c>
      <c r="E186">
        <v>0</v>
      </c>
    </row>
    <row r="187" spans="1:6" x14ac:dyDescent="0.2">
      <c r="A187" s="17">
        <v>7561</v>
      </c>
      <c r="B187">
        <v>1</v>
      </c>
      <c r="C187">
        <v>0</v>
      </c>
      <c r="D187">
        <v>0</v>
      </c>
      <c r="E187">
        <v>0</v>
      </c>
    </row>
    <row r="188" spans="1:6" x14ac:dyDescent="0.2">
      <c r="A188" s="17">
        <v>7562</v>
      </c>
      <c r="B188">
        <v>1</v>
      </c>
      <c r="C188">
        <v>0</v>
      </c>
      <c r="D188">
        <v>0</v>
      </c>
      <c r="E188">
        <v>0</v>
      </c>
    </row>
    <row r="189" spans="1:6" x14ac:dyDescent="0.2">
      <c r="A189" s="17">
        <v>7564</v>
      </c>
      <c r="B189">
        <v>1</v>
      </c>
      <c r="C189">
        <v>0</v>
      </c>
      <c r="D189">
        <v>0</v>
      </c>
      <c r="E189">
        <v>0</v>
      </c>
    </row>
    <row r="190" spans="1:6" x14ac:dyDescent="0.2">
      <c r="A190" s="17">
        <v>7565</v>
      </c>
      <c r="B190">
        <v>1</v>
      </c>
      <c r="C190">
        <v>0</v>
      </c>
      <c r="D190">
        <v>0</v>
      </c>
      <c r="E190">
        <v>0</v>
      </c>
    </row>
    <row r="191" spans="1:6" x14ac:dyDescent="0.2">
      <c r="A191" s="17">
        <v>7566</v>
      </c>
      <c r="B191">
        <v>1</v>
      </c>
      <c r="C191">
        <v>0</v>
      </c>
      <c r="D191">
        <v>0</v>
      </c>
      <c r="E191">
        <v>0</v>
      </c>
    </row>
    <row r="192" spans="1:6" x14ac:dyDescent="0.2">
      <c r="A192" s="17">
        <v>7567</v>
      </c>
      <c r="B192">
        <v>1</v>
      </c>
      <c r="C192">
        <v>0</v>
      </c>
      <c r="D192">
        <v>0</v>
      </c>
      <c r="E192">
        <v>0</v>
      </c>
    </row>
    <row r="193" spans="1:6" x14ac:dyDescent="0.2">
      <c r="A193" s="17">
        <v>7568</v>
      </c>
      <c r="B193">
        <v>1</v>
      </c>
      <c r="C193">
        <v>0</v>
      </c>
      <c r="D193">
        <v>0</v>
      </c>
      <c r="E193">
        <v>1</v>
      </c>
      <c r="F193" t="s">
        <v>33</v>
      </c>
    </row>
    <row r="194" spans="1:6" x14ac:dyDescent="0.2">
      <c r="A194" s="17">
        <v>7569</v>
      </c>
      <c r="B194">
        <v>1</v>
      </c>
      <c r="C194">
        <v>0</v>
      </c>
      <c r="D194">
        <v>0</v>
      </c>
      <c r="E194">
        <v>0</v>
      </c>
    </row>
    <row r="195" spans="1:6" x14ac:dyDescent="0.2">
      <c r="A195" s="17">
        <v>7570</v>
      </c>
      <c r="B195">
        <v>1</v>
      </c>
      <c r="C195">
        <v>0</v>
      </c>
      <c r="D195">
        <v>0</v>
      </c>
      <c r="E195">
        <v>0</v>
      </c>
      <c r="F195" t="s">
        <v>34</v>
      </c>
    </row>
    <row r="196" spans="1:6" x14ac:dyDescent="0.2">
      <c r="A196" s="17">
        <v>7571</v>
      </c>
      <c r="B196">
        <v>1</v>
      </c>
      <c r="C196">
        <v>0</v>
      </c>
      <c r="D196">
        <v>0</v>
      </c>
      <c r="E196">
        <v>0</v>
      </c>
    </row>
    <row r="197" spans="1:6" x14ac:dyDescent="0.2">
      <c r="A197" s="17">
        <v>7572</v>
      </c>
      <c r="B197">
        <v>1</v>
      </c>
      <c r="C197">
        <v>0</v>
      </c>
      <c r="D197">
        <v>0</v>
      </c>
      <c r="E197">
        <v>0</v>
      </c>
    </row>
    <row r="198" spans="1:6" x14ac:dyDescent="0.2">
      <c r="A198" s="17">
        <v>7575</v>
      </c>
      <c r="B198">
        <v>1</v>
      </c>
      <c r="C198">
        <v>0</v>
      </c>
      <c r="D198">
        <v>0</v>
      </c>
      <c r="E198">
        <v>0</v>
      </c>
    </row>
    <row r="199" spans="1:6" x14ac:dyDescent="0.2">
      <c r="A199" s="17">
        <v>7576</v>
      </c>
      <c r="B199">
        <v>1</v>
      </c>
      <c r="C199">
        <v>0</v>
      </c>
      <c r="D199">
        <v>0</v>
      </c>
      <c r="E199">
        <v>0</v>
      </c>
    </row>
    <row r="200" spans="1:6" x14ac:dyDescent="0.2">
      <c r="A200" s="17">
        <v>7577</v>
      </c>
      <c r="B200">
        <v>1</v>
      </c>
      <c r="C200">
        <v>0</v>
      </c>
      <c r="D200">
        <v>0</v>
      </c>
      <c r="E200">
        <v>0</v>
      </c>
    </row>
    <row r="201" spans="1:6" x14ac:dyDescent="0.2">
      <c r="A201" s="17">
        <v>7578</v>
      </c>
      <c r="B201">
        <v>1</v>
      </c>
      <c r="C201">
        <v>0</v>
      </c>
      <c r="D201">
        <v>0</v>
      </c>
      <c r="E201">
        <v>0</v>
      </c>
    </row>
    <row r="202" spans="1:6" x14ac:dyDescent="0.2">
      <c r="A202" s="17">
        <v>7580</v>
      </c>
      <c r="B202">
        <v>1</v>
      </c>
      <c r="C202">
        <v>0</v>
      </c>
      <c r="D202">
        <v>0</v>
      </c>
      <c r="E202">
        <v>0</v>
      </c>
    </row>
    <row r="203" spans="1:6" x14ac:dyDescent="0.2">
      <c r="A203" s="17">
        <v>7581</v>
      </c>
      <c r="B203">
        <v>1</v>
      </c>
      <c r="C203">
        <v>0</v>
      </c>
      <c r="D203">
        <v>0</v>
      </c>
      <c r="E203">
        <v>0</v>
      </c>
    </row>
    <row r="204" spans="1:6" x14ac:dyDescent="0.2">
      <c r="A204" s="17">
        <v>7582</v>
      </c>
      <c r="B204">
        <v>1</v>
      </c>
      <c r="C204">
        <v>0</v>
      </c>
      <c r="D204">
        <v>0</v>
      </c>
      <c r="E204">
        <v>0</v>
      </c>
    </row>
    <row r="205" spans="1:6" x14ac:dyDescent="0.2">
      <c r="A205" s="17">
        <v>7583</v>
      </c>
      <c r="B205">
        <v>1</v>
      </c>
      <c r="C205">
        <v>0</v>
      </c>
      <c r="D205">
        <v>0</v>
      </c>
      <c r="E205">
        <v>0</v>
      </c>
    </row>
    <row r="206" spans="1:6" x14ac:dyDescent="0.2">
      <c r="A206" s="17">
        <v>7585</v>
      </c>
      <c r="B206">
        <v>1</v>
      </c>
      <c r="C206">
        <v>0</v>
      </c>
      <c r="D206">
        <v>0</v>
      </c>
      <c r="E206">
        <v>0</v>
      </c>
    </row>
    <row r="207" spans="1:6" x14ac:dyDescent="0.2">
      <c r="A207" s="17">
        <v>7586</v>
      </c>
      <c r="B207">
        <v>1</v>
      </c>
      <c r="C207">
        <v>0</v>
      </c>
      <c r="D207">
        <v>0</v>
      </c>
      <c r="E207">
        <v>0</v>
      </c>
    </row>
    <row r="208" spans="1:6" x14ac:dyDescent="0.2">
      <c r="A208" s="17">
        <v>7587</v>
      </c>
      <c r="B208">
        <v>1</v>
      </c>
      <c r="C208">
        <v>0</v>
      </c>
      <c r="D208">
        <v>0</v>
      </c>
      <c r="E208">
        <v>0</v>
      </c>
    </row>
    <row r="209" spans="1:6" x14ac:dyDescent="0.2">
      <c r="A209" s="17">
        <v>7589</v>
      </c>
      <c r="B209">
        <v>0</v>
      </c>
      <c r="C209">
        <v>1</v>
      </c>
      <c r="D209">
        <v>0</v>
      </c>
      <c r="E209">
        <v>0</v>
      </c>
    </row>
    <row r="210" spans="1:6" x14ac:dyDescent="0.2">
      <c r="A210" s="17">
        <v>7590</v>
      </c>
      <c r="B210">
        <v>0</v>
      </c>
      <c r="C210">
        <v>1</v>
      </c>
      <c r="D210">
        <v>0</v>
      </c>
      <c r="E210">
        <v>0</v>
      </c>
    </row>
    <row r="211" spans="1:6" x14ac:dyDescent="0.2">
      <c r="A211" s="17">
        <v>7592</v>
      </c>
      <c r="B211">
        <v>0</v>
      </c>
      <c r="C211">
        <v>1</v>
      </c>
      <c r="D211">
        <v>0</v>
      </c>
      <c r="E211">
        <v>0</v>
      </c>
    </row>
    <row r="212" spans="1:6" x14ac:dyDescent="0.2">
      <c r="A212" s="17">
        <v>7593</v>
      </c>
      <c r="B212">
        <v>0</v>
      </c>
      <c r="C212">
        <v>1</v>
      </c>
      <c r="D212">
        <v>0</v>
      </c>
      <c r="E212">
        <v>0</v>
      </c>
    </row>
    <row r="213" spans="1:6" x14ac:dyDescent="0.2">
      <c r="A213" s="17">
        <v>7595</v>
      </c>
      <c r="B213">
        <v>0</v>
      </c>
      <c r="C213">
        <v>1</v>
      </c>
      <c r="D213">
        <v>0</v>
      </c>
      <c r="E213">
        <v>0</v>
      </c>
      <c r="F213" t="s">
        <v>32</v>
      </c>
    </row>
    <row r="214" spans="1:6" x14ac:dyDescent="0.2">
      <c r="A214" s="17">
        <v>7597</v>
      </c>
      <c r="B214">
        <v>0</v>
      </c>
      <c r="C214">
        <v>1</v>
      </c>
      <c r="D214">
        <v>0</v>
      </c>
      <c r="E214">
        <v>0</v>
      </c>
    </row>
    <row r="215" spans="1:6" x14ac:dyDescent="0.2">
      <c r="A215" s="17">
        <v>7598</v>
      </c>
      <c r="B215">
        <v>0</v>
      </c>
      <c r="C215">
        <v>1</v>
      </c>
      <c r="D215">
        <v>0</v>
      </c>
      <c r="E215">
        <v>0</v>
      </c>
    </row>
    <row r="216" spans="1:6" x14ac:dyDescent="0.2">
      <c r="A216" s="17">
        <v>7599</v>
      </c>
      <c r="B216">
        <v>0</v>
      </c>
      <c r="C216">
        <v>1</v>
      </c>
      <c r="D216">
        <v>0</v>
      </c>
      <c r="E216">
        <v>0</v>
      </c>
    </row>
    <row r="217" spans="1:6" x14ac:dyDescent="0.2">
      <c r="A217" s="17">
        <v>7600</v>
      </c>
      <c r="B217">
        <v>0</v>
      </c>
      <c r="C217">
        <v>1</v>
      </c>
      <c r="D217">
        <v>0</v>
      </c>
      <c r="E217">
        <v>0</v>
      </c>
    </row>
    <row r="218" spans="1:6" x14ac:dyDescent="0.2">
      <c r="A218" s="17">
        <v>7601</v>
      </c>
      <c r="B218">
        <v>0</v>
      </c>
      <c r="C218">
        <v>1</v>
      </c>
      <c r="D218">
        <v>0</v>
      </c>
      <c r="E218">
        <v>0</v>
      </c>
    </row>
    <row r="219" spans="1:6" x14ac:dyDescent="0.2">
      <c r="A219" s="17">
        <v>7602</v>
      </c>
      <c r="B219">
        <v>0</v>
      </c>
      <c r="C219">
        <v>1</v>
      </c>
      <c r="D219">
        <v>0</v>
      </c>
      <c r="E219">
        <v>0</v>
      </c>
    </row>
    <row r="220" spans="1:6" x14ac:dyDescent="0.2">
      <c r="A220" s="17">
        <v>7603</v>
      </c>
      <c r="B220">
        <v>0</v>
      </c>
      <c r="C220">
        <v>0</v>
      </c>
      <c r="D220">
        <v>1</v>
      </c>
      <c r="E220">
        <v>0</v>
      </c>
    </row>
    <row r="221" spans="1:6" x14ac:dyDescent="0.2">
      <c r="A221" s="17">
        <v>7606</v>
      </c>
      <c r="B221">
        <v>0</v>
      </c>
      <c r="C221">
        <v>0</v>
      </c>
      <c r="D221">
        <v>1</v>
      </c>
      <c r="E221">
        <v>0</v>
      </c>
    </row>
    <row r="222" spans="1:6" x14ac:dyDescent="0.2">
      <c r="A222" s="17">
        <v>7607</v>
      </c>
      <c r="B222">
        <v>0</v>
      </c>
      <c r="C222">
        <v>0</v>
      </c>
      <c r="D222">
        <v>1</v>
      </c>
      <c r="E222">
        <v>0</v>
      </c>
    </row>
    <row r="223" spans="1:6" x14ac:dyDescent="0.2">
      <c r="A223" s="17">
        <v>7609</v>
      </c>
      <c r="B223">
        <v>0</v>
      </c>
      <c r="C223">
        <v>0</v>
      </c>
      <c r="D223">
        <v>1</v>
      </c>
      <c r="E223">
        <v>0</v>
      </c>
    </row>
    <row r="224" spans="1:6" x14ac:dyDescent="0.2">
      <c r="A224" s="17">
        <v>7610</v>
      </c>
      <c r="B224">
        <v>0</v>
      </c>
      <c r="C224">
        <v>0</v>
      </c>
      <c r="D224">
        <v>1</v>
      </c>
      <c r="E224">
        <v>0</v>
      </c>
    </row>
    <row r="225" spans="1:5" x14ac:dyDescent="0.2">
      <c r="A225" s="17">
        <v>7611</v>
      </c>
      <c r="B225">
        <v>0</v>
      </c>
      <c r="C225">
        <v>0</v>
      </c>
      <c r="D225">
        <v>1</v>
      </c>
      <c r="E225">
        <v>0</v>
      </c>
    </row>
    <row r="226" spans="1:5" x14ac:dyDescent="0.2">
      <c r="A226" s="17">
        <v>7612</v>
      </c>
      <c r="B226">
        <v>0</v>
      </c>
      <c r="C226">
        <v>0</v>
      </c>
      <c r="D226">
        <v>1</v>
      </c>
      <c r="E226">
        <v>0</v>
      </c>
    </row>
    <row r="227" spans="1:5" x14ac:dyDescent="0.2">
      <c r="A227" s="17">
        <v>7613</v>
      </c>
      <c r="B227">
        <v>0</v>
      </c>
      <c r="C227">
        <v>0</v>
      </c>
      <c r="D227">
        <v>1</v>
      </c>
      <c r="E227">
        <v>0</v>
      </c>
    </row>
    <row r="228" spans="1:5" x14ac:dyDescent="0.2">
      <c r="A228" s="17">
        <v>7614</v>
      </c>
      <c r="B228">
        <v>0</v>
      </c>
      <c r="C228">
        <v>0</v>
      </c>
      <c r="D228">
        <v>1</v>
      </c>
      <c r="E228">
        <v>0</v>
      </c>
    </row>
    <row r="229" spans="1:5" x14ac:dyDescent="0.2">
      <c r="A229" s="17">
        <v>7616</v>
      </c>
      <c r="B229">
        <v>0</v>
      </c>
      <c r="C229">
        <v>0</v>
      </c>
      <c r="D229">
        <v>1</v>
      </c>
      <c r="E229">
        <v>0</v>
      </c>
    </row>
    <row r="230" spans="1:5" x14ac:dyDescent="0.2">
      <c r="A230" s="17">
        <v>7617</v>
      </c>
      <c r="B230">
        <v>0</v>
      </c>
      <c r="C230">
        <v>0</v>
      </c>
      <c r="D230">
        <v>1</v>
      </c>
      <c r="E230">
        <v>0</v>
      </c>
    </row>
    <row r="231" spans="1:5" x14ac:dyDescent="0.2">
      <c r="A231" s="17">
        <v>7629</v>
      </c>
      <c r="B231">
        <v>0</v>
      </c>
      <c r="C231">
        <v>0</v>
      </c>
      <c r="D231">
        <v>1</v>
      </c>
      <c r="E231">
        <v>0</v>
      </c>
    </row>
    <row r="232" spans="1:5" x14ac:dyDescent="0.2">
      <c r="A232" s="17">
        <v>7630</v>
      </c>
      <c r="B232">
        <v>0</v>
      </c>
      <c r="C232">
        <v>0</v>
      </c>
      <c r="D232">
        <v>1</v>
      </c>
      <c r="E232">
        <v>0</v>
      </c>
    </row>
    <row r="233" spans="1:5" x14ac:dyDescent="0.2">
      <c r="A233" s="17">
        <v>7631</v>
      </c>
      <c r="B233">
        <v>0</v>
      </c>
      <c r="C233">
        <v>0</v>
      </c>
      <c r="D233">
        <v>1</v>
      </c>
      <c r="E233">
        <v>1</v>
      </c>
    </row>
    <row r="234" spans="1:5" x14ac:dyDescent="0.2">
      <c r="A234" s="17">
        <v>7632</v>
      </c>
      <c r="B234">
        <v>0</v>
      </c>
      <c r="C234">
        <v>0</v>
      </c>
      <c r="D234">
        <v>1</v>
      </c>
      <c r="E234">
        <v>0</v>
      </c>
    </row>
    <row r="235" spans="1:5" x14ac:dyDescent="0.2">
      <c r="A235" s="17">
        <v>7633</v>
      </c>
      <c r="B235">
        <v>0</v>
      </c>
      <c r="C235">
        <v>0</v>
      </c>
      <c r="D235">
        <v>1</v>
      </c>
      <c r="E235">
        <v>0</v>
      </c>
    </row>
    <row r="236" spans="1:5" x14ac:dyDescent="0.2">
      <c r="A236" s="17">
        <v>7634</v>
      </c>
      <c r="B236">
        <v>0</v>
      </c>
      <c r="C236">
        <v>0</v>
      </c>
      <c r="D236">
        <v>1</v>
      </c>
      <c r="E236">
        <v>0</v>
      </c>
    </row>
    <row r="237" spans="1:5" x14ac:dyDescent="0.2">
      <c r="A237" s="17">
        <v>7635</v>
      </c>
      <c r="B237">
        <v>0</v>
      </c>
      <c r="C237">
        <v>0</v>
      </c>
      <c r="D237">
        <v>1</v>
      </c>
      <c r="E237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8D6C6-7FE0-D94A-B83C-FFD2DE9195F5}">
  <dimension ref="A1:O237"/>
  <sheetViews>
    <sheetView tabSelected="1" workbookViewId="0">
      <selection activeCell="I15" sqref="I15"/>
    </sheetView>
  </sheetViews>
  <sheetFormatPr baseColWidth="10" defaultRowHeight="16" x14ac:dyDescent="0.2"/>
  <cols>
    <col min="2" max="3" width="12" customWidth="1"/>
  </cols>
  <sheetData>
    <row r="1" spans="1:15" x14ac:dyDescent="0.2">
      <c r="A1" s="16" t="s">
        <v>0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47</v>
      </c>
      <c r="H1" t="s">
        <v>46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15</v>
      </c>
    </row>
    <row r="2" spans="1:15" x14ac:dyDescent="0.2">
      <c r="A2" s="17">
        <v>7034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5" x14ac:dyDescent="0.2">
      <c r="A3" s="17">
        <v>7036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5" x14ac:dyDescent="0.2">
      <c r="A4" s="17">
        <v>7037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5" x14ac:dyDescent="0.2">
      <c r="A5" s="17">
        <v>7038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5" x14ac:dyDescent="0.2">
      <c r="A6" s="17">
        <v>7040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5" x14ac:dyDescent="0.2">
      <c r="A7" s="17">
        <v>7041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5" x14ac:dyDescent="0.2">
      <c r="A8" s="17">
        <v>7042</v>
      </c>
      <c r="B8">
        <v>0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5" x14ac:dyDescent="0.2">
      <c r="A9" s="17">
        <v>7043</v>
      </c>
      <c r="B9">
        <v>0</v>
      </c>
      <c r="C9">
        <v>1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 t="s">
        <v>48</v>
      </c>
    </row>
    <row r="10" spans="1:15" x14ac:dyDescent="0.2">
      <c r="A10" s="17">
        <v>7044</v>
      </c>
      <c r="B10">
        <v>0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s="24">
        <v>1</v>
      </c>
      <c r="K10">
        <v>0</v>
      </c>
      <c r="L10">
        <v>0</v>
      </c>
      <c r="M10">
        <v>0</v>
      </c>
      <c r="N10">
        <v>0</v>
      </c>
      <c r="O10" t="s">
        <v>49</v>
      </c>
    </row>
    <row r="11" spans="1:15" x14ac:dyDescent="0.2">
      <c r="A11" s="17">
        <v>7045</v>
      </c>
      <c r="B11">
        <v>0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5" x14ac:dyDescent="0.2">
      <c r="A12" s="17">
        <v>7046</v>
      </c>
      <c r="B12">
        <v>0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5" x14ac:dyDescent="0.2">
      <c r="A13" s="17">
        <v>7047</v>
      </c>
      <c r="B13">
        <v>0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5" x14ac:dyDescent="0.2">
      <c r="A14" s="17">
        <v>7048</v>
      </c>
      <c r="B14">
        <v>0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5" x14ac:dyDescent="0.2">
      <c r="A15" s="17">
        <v>7049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5" x14ac:dyDescent="0.2">
      <c r="A16" s="17">
        <v>7050</v>
      </c>
      <c r="B16">
        <v>0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2">
      <c r="A17" s="17">
        <v>7051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">
      <c r="A18" s="17">
        <v>7052</v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">
      <c r="A19" s="17">
        <v>7053</v>
      </c>
      <c r="B19">
        <v>0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2">
      <c r="A20" s="17">
        <v>7055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2">
      <c r="A21" s="17">
        <v>7194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2">
      <c r="A22" s="17">
        <v>7195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2">
      <c r="A23" s="17">
        <v>7196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2">
      <c r="A24" s="17">
        <v>7197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2">
      <c r="A25" s="17">
        <v>7199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2">
      <c r="A26" s="17">
        <v>7200</v>
      </c>
      <c r="B26">
        <v>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2">
      <c r="A27" s="17">
        <v>7201</v>
      </c>
      <c r="B27">
        <v>0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2">
      <c r="A28" s="17">
        <v>7202</v>
      </c>
      <c r="B28">
        <v>0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2">
      <c r="A29" s="17">
        <v>7203</v>
      </c>
      <c r="B29">
        <v>0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x14ac:dyDescent="0.2">
      <c r="A30" s="17">
        <v>7205</v>
      </c>
      <c r="B30">
        <v>0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x14ac:dyDescent="0.2">
      <c r="A31" s="17">
        <v>7206</v>
      </c>
      <c r="B31">
        <v>0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x14ac:dyDescent="0.2">
      <c r="A32" s="17">
        <v>7262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  <c r="N32">
        <v>0</v>
      </c>
    </row>
    <row r="33" spans="1:14" x14ac:dyDescent="0.2">
      <c r="A33" s="17">
        <v>7263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</row>
    <row r="34" spans="1:14" x14ac:dyDescent="0.2">
      <c r="A34" s="17">
        <v>7265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</row>
    <row r="35" spans="1:14" x14ac:dyDescent="0.2">
      <c r="A35" s="17">
        <v>7266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0</v>
      </c>
      <c r="L35">
        <v>0</v>
      </c>
      <c r="M35">
        <v>0</v>
      </c>
      <c r="N35">
        <v>0</v>
      </c>
    </row>
    <row r="36" spans="1:14" x14ac:dyDescent="0.2">
      <c r="A36" s="17">
        <v>7267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1</v>
      </c>
      <c r="K36">
        <v>0</v>
      </c>
      <c r="L36">
        <v>0</v>
      </c>
      <c r="M36">
        <v>0</v>
      </c>
      <c r="N36">
        <v>0</v>
      </c>
    </row>
    <row r="37" spans="1:14" x14ac:dyDescent="0.2">
      <c r="A37" s="17">
        <v>7269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</row>
    <row r="38" spans="1:14" x14ac:dyDescent="0.2">
      <c r="A38" s="17">
        <v>7271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  <c r="M38">
        <v>0</v>
      </c>
      <c r="N38">
        <v>0</v>
      </c>
    </row>
    <row r="39" spans="1:14" x14ac:dyDescent="0.2">
      <c r="A39" s="17">
        <v>7272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  <c r="K39">
        <v>0</v>
      </c>
      <c r="L39">
        <v>0</v>
      </c>
      <c r="M39">
        <v>0</v>
      </c>
      <c r="N39">
        <v>0</v>
      </c>
    </row>
    <row r="40" spans="1:14" x14ac:dyDescent="0.2">
      <c r="A40" s="17">
        <v>7273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</row>
    <row r="41" spans="1:14" x14ac:dyDescent="0.2">
      <c r="A41" s="17">
        <v>7275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</v>
      </c>
      <c r="K41">
        <v>0</v>
      </c>
      <c r="L41">
        <v>0</v>
      </c>
      <c r="M41">
        <v>0</v>
      </c>
      <c r="N41">
        <v>0</v>
      </c>
    </row>
    <row r="42" spans="1:14" x14ac:dyDescent="0.2">
      <c r="A42" s="17">
        <v>7276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</row>
    <row r="43" spans="1:14" x14ac:dyDescent="0.2">
      <c r="A43" s="17">
        <v>7277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</v>
      </c>
      <c r="K43">
        <v>0</v>
      </c>
      <c r="L43">
        <v>1</v>
      </c>
      <c r="M43">
        <v>0</v>
      </c>
      <c r="N43">
        <v>0</v>
      </c>
    </row>
    <row r="44" spans="1:14" x14ac:dyDescent="0.2">
      <c r="A44" s="17">
        <v>7278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</row>
    <row r="45" spans="1:14" x14ac:dyDescent="0.2">
      <c r="A45" s="17">
        <v>7279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</row>
    <row r="46" spans="1:14" x14ac:dyDescent="0.2">
      <c r="A46" s="17">
        <v>7280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</row>
    <row r="47" spans="1:14" x14ac:dyDescent="0.2">
      <c r="A47" s="17">
        <v>7281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</row>
    <row r="48" spans="1:14" x14ac:dyDescent="0.2">
      <c r="A48" s="17">
        <v>7282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</row>
    <row r="49" spans="1:15" x14ac:dyDescent="0.2">
      <c r="A49" s="17">
        <v>7283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  <c r="N49">
        <v>0</v>
      </c>
    </row>
    <row r="50" spans="1:15" x14ac:dyDescent="0.2">
      <c r="A50" s="17">
        <v>7284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</row>
    <row r="51" spans="1:15" x14ac:dyDescent="0.2">
      <c r="A51" s="17">
        <v>7285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</row>
    <row r="52" spans="1:15" x14ac:dyDescent="0.2">
      <c r="A52" s="17">
        <v>7286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</row>
    <row r="53" spans="1:15" x14ac:dyDescent="0.2">
      <c r="A53" s="17">
        <v>7287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</row>
    <row r="54" spans="1:15" x14ac:dyDescent="0.2">
      <c r="A54" s="17">
        <v>7288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</v>
      </c>
      <c r="K54">
        <v>1</v>
      </c>
      <c r="L54">
        <v>0</v>
      </c>
      <c r="M54">
        <v>0</v>
      </c>
      <c r="N54">
        <v>0</v>
      </c>
    </row>
    <row r="55" spans="1:15" x14ac:dyDescent="0.2">
      <c r="A55" s="17">
        <v>7289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</row>
    <row r="56" spans="1:15" x14ac:dyDescent="0.2">
      <c r="A56" s="17">
        <v>7311</v>
      </c>
      <c r="B56">
        <v>0</v>
      </c>
      <c r="C56">
        <v>0</v>
      </c>
      <c r="D56">
        <v>0</v>
      </c>
      <c r="E56">
        <v>0</v>
      </c>
      <c r="F56">
        <v>0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5" x14ac:dyDescent="0.2">
      <c r="A57" s="17">
        <v>7314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 t="s">
        <v>50</v>
      </c>
    </row>
    <row r="58" spans="1:15" x14ac:dyDescent="0.2">
      <c r="A58" s="17">
        <v>7315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5" x14ac:dyDescent="0.2">
      <c r="A59" s="17">
        <v>7316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5" x14ac:dyDescent="0.2">
      <c r="A60" s="17">
        <v>7317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5" x14ac:dyDescent="0.2">
      <c r="A61" s="17">
        <v>7319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5" x14ac:dyDescent="0.2">
      <c r="A62" s="17">
        <v>7321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5" x14ac:dyDescent="0.2">
      <c r="A63" s="17">
        <v>7322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15" x14ac:dyDescent="0.2">
      <c r="A64" s="17">
        <v>7324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5" x14ac:dyDescent="0.2">
      <c r="A65" s="17">
        <v>7325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15" x14ac:dyDescent="0.2">
      <c r="A66" s="17">
        <v>7326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5" x14ac:dyDescent="0.2">
      <c r="A67" s="17">
        <v>7327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5" x14ac:dyDescent="0.2">
      <c r="A68" s="17">
        <v>7328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1</v>
      </c>
      <c r="J68">
        <v>0</v>
      </c>
      <c r="K68">
        <v>0</v>
      </c>
      <c r="L68">
        <v>1</v>
      </c>
      <c r="M68">
        <v>0</v>
      </c>
      <c r="N68">
        <v>0</v>
      </c>
    </row>
    <row r="69" spans="1:15" x14ac:dyDescent="0.2">
      <c r="A69" s="17">
        <v>7329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1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5" x14ac:dyDescent="0.2">
      <c r="A70" s="17">
        <v>7330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5" x14ac:dyDescent="0.2">
      <c r="A71" s="17">
        <v>7331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5" x14ac:dyDescent="0.2">
      <c r="A72" s="17">
        <v>7332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5" x14ac:dyDescent="0.2">
      <c r="A73" s="17">
        <v>7334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1</v>
      </c>
      <c r="J73">
        <v>0</v>
      </c>
      <c r="K73">
        <v>1</v>
      </c>
      <c r="L73">
        <v>0</v>
      </c>
      <c r="M73">
        <v>0</v>
      </c>
      <c r="N73">
        <v>0</v>
      </c>
    </row>
    <row r="74" spans="1:15" x14ac:dyDescent="0.2">
      <c r="A74" s="17">
        <v>7371</v>
      </c>
      <c r="B74">
        <v>0</v>
      </c>
      <c r="C74">
        <v>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5" x14ac:dyDescent="0.2">
      <c r="A75" s="17">
        <v>7372</v>
      </c>
      <c r="B75">
        <v>0</v>
      </c>
      <c r="C75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 s="24">
        <v>1</v>
      </c>
      <c r="K75">
        <v>0</v>
      </c>
      <c r="L75">
        <v>0</v>
      </c>
      <c r="M75">
        <v>0</v>
      </c>
      <c r="N75">
        <v>0</v>
      </c>
      <c r="O75" t="s">
        <v>49</v>
      </c>
    </row>
    <row r="76" spans="1:15" x14ac:dyDescent="0.2">
      <c r="A76" s="17">
        <v>7373</v>
      </c>
      <c r="B76">
        <v>0</v>
      </c>
      <c r="C76">
        <v>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5" x14ac:dyDescent="0.2">
      <c r="A77" s="17">
        <v>7374</v>
      </c>
      <c r="B77">
        <v>0</v>
      </c>
      <c r="C77">
        <v>1</v>
      </c>
      <c r="D77">
        <v>0</v>
      </c>
      <c r="E77">
        <v>0</v>
      </c>
      <c r="F77">
        <v>0</v>
      </c>
      <c r="G77">
        <v>0</v>
      </c>
      <c r="H77">
        <v>0</v>
      </c>
      <c r="I77" s="24">
        <v>1</v>
      </c>
      <c r="J77">
        <v>0</v>
      </c>
      <c r="K77">
        <v>0</v>
      </c>
      <c r="L77">
        <v>0</v>
      </c>
      <c r="M77">
        <v>0</v>
      </c>
      <c r="N77">
        <v>0</v>
      </c>
      <c r="O77" t="s">
        <v>49</v>
      </c>
    </row>
    <row r="78" spans="1:15" x14ac:dyDescent="0.2">
      <c r="A78" s="17">
        <v>7375</v>
      </c>
      <c r="B78">
        <v>0</v>
      </c>
      <c r="C78">
        <v>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5" x14ac:dyDescent="0.2">
      <c r="A79" s="17">
        <v>7376</v>
      </c>
      <c r="B79">
        <v>0</v>
      </c>
      <c r="C79">
        <v>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 s="24">
        <v>1</v>
      </c>
      <c r="K79">
        <v>0</v>
      </c>
      <c r="L79">
        <v>0</v>
      </c>
      <c r="M79">
        <v>0</v>
      </c>
      <c r="N79">
        <v>0</v>
      </c>
      <c r="O79" t="s">
        <v>49</v>
      </c>
    </row>
    <row r="80" spans="1:15" x14ac:dyDescent="0.2">
      <c r="A80" s="17">
        <v>7377</v>
      </c>
      <c r="B80">
        <v>0</v>
      </c>
      <c r="C80">
        <v>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 x14ac:dyDescent="0.2">
      <c r="A81" s="17">
        <v>7378</v>
      </c>
      <c r="B81">
        <v>0</v>
      </c>
      <c r="C81">
        <v>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 spans="1:14" x14ac:dyDescent="0.2">
      <c r="A82" s="17">
        <v>7379</v>
      </c>
      <c r="B82">
        <v>0</v>
      </c>
      <c r="C82">
        <v>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 x14ac:dyDescent="0.2">
      <c r="A83" s="17">
        <v>7380</v>
      </c>
      <c r="B83">
        <v>0</v>
      </c>
      <c r="C83">
        <v>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 x14ac:dyDescent="0.2">
      <c r="A84" s="17">
        <v>7381</v>
      </c>
      <c r="B84">
        <v>0</v>
      </c>
      <c r="C84">
        <v>1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 x14ac:dyDescent="0.2">
      <c r="A85" s="17">
        <v>7382</v>
      </c>
      <c r="B85">
        <v>0</v>
      </c>
      <c r="C85">
        <v>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 x14ac:dyDescent="0.2">
      <c r="A86" s="17">
        <v>7383</v>
      </c>
      <c r="B86">
        <v>0</v>
      </c>
      <c r="C86">
        <v>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 x14ac:dyDescent="0.2">
      <c r="A87" s="17">
        <v>7384</v>
      </c>
      <c r="B87">
        <v>0</v>
      </c>
      <c r="C87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 x14ac:dyDescent="0.2">
      <c r="A88" s="17">
        <v>7385</v>
      </c>
      <c r="B88">
        <v>0</v>
      </c>
      <c r="C88">
        <v>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1</v>
      </c>
      <c r="L88">
        <v>0</v>
      </c>
      <c r="M88">
        <v>0</v>
      </c>
      <c r="N88">
        <v>0</v>
      </c>
    </row>
    <row r="89" spans="1:14" x14ac:dyDescent="0.2">
      <c r="A89" s="17">
        <v>7386</v>
      </c>
      <c r="B89">
        <v>0</v>
      </c>
      <c r="C89">
        <v>1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 x14ac:dyDescent="0.2">
      <c r="A90" s="17">
        <v>7387</v>
      </c>
      <c r="B90">
        <v>0</v>
      </c>
      <c r="C90">
        <v>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 x14ac:dyDescent="0.2">
      <c r="A91" s="17">
        <v>7388</v>
      </c>
      <c r="B91">
        <v>0</v>
      </c>
      <c r="C91">
        <v>1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 x14ac:dyDescent="0.2">
      <c r="A92" s="17">
        <v>7389</v>
      </c>
      <c r="B92">
        <v>0</v>
      </c>
      <c r="C92">
        <v>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 x14ac:dyDescent="0.2">
      <c r="A93" s="17">
        <v>7390</v>
      </c>
      <c r="B93">
        <v>0</v>
      </c>
      <c r="C93">
        <v>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 x14ac:dyDescent="0.2">
      <c r="A94" s="17">
        <v>7391</v>
      </c>
      <c r="B94">
        <v>0</v>
      </c>
      <c r="C94">
        <v>1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 x14ac:dyDescent="0.2">
      <c r="A95" s="17">
        <v>7392</v>
      </c>
      <c r="B95">
        <v>0</v>
      </c>
      <c r="C95">
        <v>1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 x14ac:dyDescent="0.2">
      <c r="A96" s="17">
        <v>7393</v>
      </c>
      <c r="B96">
        <v>0</v>
      </c>
      <c r="C96">
        <v>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 x14ac:dyDescent="0.2">
      <c r="A97" s="17">
        <v>7394</v>
      </c>
      <c r="B97">
        <v>0</v>
      </c>
      <c r="C97">
        <v>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 x14ac:dyDescent="0.2">
      <c r="A98" s="17">
        <v>7396</v>
      </c>
      <c r="B98">
        <v>0</v>
      </c>
      <c r="C98">
        <v>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 x14ac:dyDescent="0.2">
      <c r="A99" s="17">
        <v>7398</v>
      </c>
      <c r="B99">
        <v>0</v>
      </c>
      <c r="C99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 x14ac:dyDescent="0.2">
      <c r="A100" s="17">
        <v>7400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 x14ac:dyDescent="0.2">
      <c r="A101" s="17">
        <v>7401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 x14ac:dyDescent="0.2">
      <c r="A102" s="17">
        <v>7402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 x14ac:dyDescent="0.2">
      <c r="A103" s="17">
        <v>7403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1</v>
      </c>
      <c r="H103">
        <v>0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 x14ac:dyDescent="0.2">
      <c r="A104" s="17">
        <v>7404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 x14ac:dyDescent="0.2">
      <c r="A105" s="17">
        <v>7405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 x14ac:dyDescent="0.2">
      <c r="A106" s="17">
        <v>7406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 x14ac:dyDescent="0.2">
      <c r="A107" s="17">
        <v>7407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 x14ac:dyDescent="0.2">
      <c r="A108" s="17">
        <v>7408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 x14ac:dyDescent="0.2">
      <c r="A109" s="17">
        <v>7409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 x14ac:dyDescent="0.2">
      <c r="A110" s="17">
        <v>7410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14" x14ac:dyDescent="0.2">
      <c r="A111" s="17">
        <v>7413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 x14ac:dyDescent="0.2">
      <c r="A112" s="17">
        <v>7414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5" x14ac:dyDescent="0.2">
      <c r="A113" s="17">
        <v>7415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5" x14ac:dyDescent="0.2">
      <c r="A114" s="17">
        <v>7416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1:15" x14ac:dyDescent="0.2">
      <c r="A115" s="17">
        <v>7417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</row>
    <row r="116" spans="1:15" x14ac:dyDescent="0.2">
      <c r="A116" s="17">
        <v>7419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15" x14ac:dyDescent="0.2">
      <c r="A117" s="17">
        <v>7421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0</v>
      </c>
      <c r="L117">
        <v>0</v>
      </c>
      <c r="M117">
        <v>0</v>
      </c>
      <c r="N117">
        <v>0</v>
      </c>
      <c r="O117" t="s">
        <v>51</v>
      </c>
    </row>
    <row r="118" spans="1:15" x14ac:dyDescent="0.2">
      <c r="A118" s="17">
        <v>7422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0</v>
      </c>
      <c r="L118">
        <v>0</v>
      </c>
      <c r="M118">
        <v>0</v>
      </c>
      <c r="N118">
        <v>0</v>
      </c>
    </row>
    <row r="119" spans="1:15" x14ac:dyDescent="0.2">
      <c r="A119" s="17">
        <v>7423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1</v>
      </c>
      <c r="K119">
        <v>0</v>
      </c>
      <c r="L119">
        <v>0</v>
      </c>
      <c r="M119">
        <v>0</v>
      </c>
      <c r="N119">
        <v>0</v>
      </c>
    </row>
    <row r="120" spans="1:15" x14ac:dyDescent="0.2">
      <c r="A120" s="17">
        <v>7424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</v>
      </c>
      <c r="K120">
        <v>0</v>
      </c>
      <c r="L120">
        <v>0</v>
      </c>
      <c r="M120">
        <v>0</v>
      </c>
      <c r="N120">
        <v>0</v>
      </c>
    </row>
    <row r="121" spans="1:15" x14ac:dyDescent="0.2">
      <c r="A121" s="17">
        <v>7425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</v>
      </c>
      <c r="K121">
        <v>0</v>
      </c>
      <c r="L121">
        <v>0</v>
      </c>
      <c r="M121">
        <v>0</v>
      </c>
      <c r="N121">
        <v>0</v>
      </c>
    </row>
    <row r="122" spans="1:15" x14ac:dyDescent="0.2">
      <c r="A122" s="17">
        <v>7426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0</v>
      </c>
    </row>
    <row r="123" spans="1:15" x14ac:dyDescent="0.2">
      <c r="A123" s="17">
        <v>7426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</v>
      </c>
      <c r="K123">
        <v>0</v>
      </c>
      <c r="L123">
        <v>0</v>
      </c>
      <c r="M123">
        <v>0</v>
      </c>
      <c r="N123">
        <v>0</v>
      </c>
    </row>
    <row r="124" spans="1:15" x14ac:dyDescent="0.2">
      <c r="A124" s="17">
        <v>7427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1</v>
      </c>
      <c r="K124">
        <v>0</v>
      </c>
      <c r="L124">
        <v>0</v>
      </c>
      <c r="M124">
        <v>0</v>
      </c>
      <c r="N124">
        <v>0</v>
      </c>
    </row>
    <row r="125" spans="1:15" x14ac:dyDescent="0.2">
      <c r="A125" s="17">
        <v>7428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1</v>
      </c>
      <c r="K125">
        <v>0</v>
      </c>
      <c r="L125">
        <v>0</v>
      </c>
      <c r="M125">
        <v>0</v>
      </c>
      <c r="N125">
        <v>0</v>
      </c>
      <c r="O125" t="s">
        <v>51</v>
      </c>
    </row>
    <row r="126" spans="1:15" x14ac:dyDescent="0.2">
      <c r="A126" s="17">
        <v>7429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</row>
    <row r="127" spans="1:15" x14ac:dyDescent="0.2">
      <c r="A127" s="17">
        <v>7431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1</v>
      </c>
      <c r="K127">
        <v>0</v>
      </c>
      <c r="L127">
        <v>0</v>
      </c>
      <c r="M127">
        <v>0</v>
      </c>
      <c r="N127">
        <v>0</v>
      </c>
    </row>
    <row r="128" spans="1:15" x14ac:dyDescent="0.2">
      <c r="A128" s="17">
        <v>7432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1</v>
      </c>
      <c r="K128">
        <v>0</v>
      </c>
      <c r="L128">
        <v>0</v>
      </c>
      <c r="M128">
        <v>0</v>
      </c>
      <c r="N128">
        <v>0</v>
      </c>
    </row>
    <row r="129" spans="1:15" x14ac:dyDescent="0.2">
      <c r="A129" s="17">
        <v>7433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1</v>
      </c>
      <c r="K129">
        <v>0</v>
      </c>
      <c r="L129">
        <v>0</v>
      </c>
      <c r="M129">
        <v>0</v>
      </c>
      <c r="N129">
        <v>0</v>
      </c>
    </row>
    <row r="130" spans="1:15" x14ac:dyDescent="0.2">
      <c r="A130" s="17">
        <v>7434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1</v>
      </c>
      <c r="K130">
        <v>1</v>
      </c>
      <c r="L130">
        <v>0</v>
      </c>
      <c r="M130">
        <v>0</v>
      </c>
      <c r="N130">
        <v>0</v>
      </c>
      <c r="O130" t="s">
        <v>52</v>
      </c>
    </row>
    <row r="131" spans="1:15" x14ac:dyDescent="0.2">
      <c r="A131" s="17">
        <v>7435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</row>
    <row r="132" spans="1:15" x14ac:dyDescent="0.2">
      <c r="A132" s="17">
        <v>7461</v>
      </c>
      <c r="B132">
        <v>0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</row>
    <row r="133" spans="1:15" x14ac:dyDescent="0.2">
      <c r="A133" s="17">
        <v>7462</v>
      </c>
      <c r="B133">
        <v>0</v>
      </c>
      <c r="C133">
        <v>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</row>
    <row r="134" spans="1:15" x14ac:dyDescent="0.2">
      <c r="A134" s="17">
        <v>7463</v>
      </c>
      <c r="B134">
        <v>0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</row>
    <row r="135" spans="1:15" x14ac:dyDescent="0.2">
      <c r="A135" s="17">
        <v>7464</v>
      </c>
      <c r="B135">
        <v>0</v>
      </c>
      <c r="C135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</row>
    <row r="136" spans="1:15" x14ac:dyDescent="0.2">
      <c r="A136" s="17">
        <v>7465</v>
      </c>
      <c r="B136">
        <v>0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 s="24">
        <v>1</v>
      </c>
      <c r="K136">
        <v>0</v>
      </c>
      <c r="L136">
        <v>0</v>
      </c>
      <c r="M136">
        <v>0</v>
      </c>
      <c r="N136">
        <v>0</v>
      </c>
      <c r="O136" t="s">
        <v>49</v>
      </c>
    </row>
    <row r="137" spans="1:15" x14ac:dyDescent="0.2">
      <c r="A137" s="17">
        <v>7466</v>
      </c>
      <c r="B137">
        <v>0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</row>
    <row r="138" spans="1:15" x14ac:dyDescent="0.2">
      <c r="A138" s="17">
        <v>7467</v>
      </c>
      <c r="B138">
        <v>0</v>
      </c>
      <c r="C138">
        <v>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</row>
    <row r="139" spans="1:15" x14ac:dyDescent="0.2">
      <c r="A139" s="17">
        <v>7468</v>
      </c>
      <c r="B139">
        <v>0</v>
      </c>
      <c r="C139">
        <v>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</row>
    <row r="140" spans="1:15" x14ac:dyDescent="0.2">
      <c r="A140" s="17">
        <v>7469</v>
      </c>
      <c r="B140">
        <v>0</v>
      </c>
      <c r="C140">
        <v>1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</row>
    <row r="141" spans="1:15" x14ac:dyDescent="0.2">
      <c r="A141" s="17">
        <v>7482</v>
      </c>
      <c r="B141">
        <v>0</v>
      </c>
      <c r="C141">
        <v>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1</v>
      </c>
      <c r="L141">
        <v>0</v>
      </c>
      <c r="M141">
        <v>0</v>
      </c>
      <c r="N141">
        <v>0</v>
      </c>
    </row>
    <row r="142" spans="1:15" x14ac:dyDescent="0.2">
      <c r="A142" s="17">
        <v>7483</v>
      </c>
      <c r="B142">
        <v>0</v>
      </c>
      <c r="C142">
        <v>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5" x14ac:dyDescent="0.2">
      <c r="A143" s="17">
        <v>7484</v>
      </c>
      <c r="B143">
        <v>0</v>
      </c>
      <c r="C143">
        <v>1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5" x14ac:dyDescent="0.2">
      <c r="A144" s="17">
        <v>7485</v>
      </c>
      <c r="B144">
        <v>0</v>
      </c>
      <c r="C144">
        <v>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5" x14ac:dyDescent="0.2">
      <c r="A145" s="17">
        <v>7486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5" x14ac:dyDescent="0.2">
      <c r="A146" s="17">
        <v>7487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5" x14ac:dyDescent="0.2">
      <c r="A147" s="17">
        <v>7488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5" x14ac:dyDescent="0.2">
      <c r="A148" s="17">
        <v>7489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5" x14ac:dyDescent="0.2">
      <c r="A149" s="17">
        <v>7491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5" x14ac:dyDescent="0.2">
      <c r="A150" s="17">
        <v>7492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5" x14ac:dyDescent="0.2">
      <c r="A151" s="17">
        <v>7493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 t="s">
        <v>50</v>
      </c>
    </row>
    <row r="152" spans="1:15" x14ac:dyDescent="0.2">
      <c r="A152" s="17">
        <v>7494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</row>
    <row r="153" spans="1:15" x14ac:dyDescent="0.2">
      <c r="A153" s="17">
        <v>7495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</row>
    <row r="154" spans="1:15" x14ac:dyDescent="0.2">
      <c r="A154" s="17">
        <v>7497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1</v>
      </c>
      <c r="K154">
        <v>0</v>
      </c>
      <c r="L154">
        <v>0</v>
      </c>
      <c r="M154">
        <v>0</v>
      </c>
      <c r="N154">
        <v>0</v>
      </c>
    </row>
    <row r="155" spans="1:15" x14ac:dyDescent="0.2">
      <c r="A155" s="17">
        <v>7498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1</v>
      </c>
      <c r="K155">
        <v>0</v>
      </c>
      <c r="L155">
        <v>0</v>
      </c>
      <c r="M155">
        <v>0</v>
      </c>
      <c r="N155">
        <v>0</v>
      </c>
    </row>
    <row r="156" spans="1:15" x14ac:dyDescent="0.2">
      <c r="A156" s="17">
        <v>7499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</row>
    <row r="157" spans="1:15" x14ac:dyDescent="0.2">
      <c r="A157" s="17">
        <v>7500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</v>
      </c>
      <c r="J157">
        <v>0</v>
      </c>
      <c r="K157">
        <v>0</v>
      </c>
      <c r="L157">
        <v>1</v>
      </c>
      <c r="M157">
        <v>0</v>
      </c>
      <c r="N157">
        <v>0</v>
      </c>
    </row>
    <row r="158" spans="1:15" x14ac:dyDescent="0.2">
      <c r="A158" s="17">
        <v>7502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</row>
    <row r="159" spans="1:15" x14ac:dyDescent="0.2">
      <c r="A159" s="17">
        <v>7504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</row>
    <row r="160" spans="1:15" x14ac:dyDescent="0.2">
      <c r="A160" s="17">
        <v>7505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</row>
    <row r="161" spans="1:15" x14ac:dyDescent="0.2">
      <c r="A161" s="17">
        <v>7506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</row>
    <row r="162" spans="1:15" x14ac:dyDescent="0.2">
      <c r="A162" s="17">
        <v>7507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</row>
    <row r="163" spans="1:15" x14ac:dyDescent="0.2">
      <c r="A163" s="17">
        <v>7508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5" x14ac:dyDescent="0.2">
      <c r="A164" s="17">
        <v>7509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</row>
    <row r="165" spans="1:15" x14ac:dyDescent="0.2">
      <c r="A165" s="17">
        <v>7510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 t="s">
        <v>50</v>
      </c>
    </row>
    <row r="166" spans="1:15" x14ac:dyDescent="0.2">
      <c r="A166" s="17">
        <v>7511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1</v>
      </c>
      <c r="K166">
        <v>1</v>
      </c>
      <c r="L166">
        <v>0</v>
      </c>
      <c r="M166">
        <v>0</v>
      </c>
      <c r="N166">
        <v>0</v>
      </c>
      <c r="O166" t="s">
        <v>53</v>
      </c>
    </row>
    <row r="167" spans="1:15" x14ac:dyDescent="0.2">
      <c r="A167" s="17">
        <v>7512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1</v>
      </c>
      <c r="K167">
        <v>0</v>
      </c>
      <c r="L167">
        <v>0</v>
      </c>
      <c r="M167">
        <v>0</v>
      </c>
      <c r="N167">
        <v>0</v>
      </c>
    </row>
    <row r="168" spans="1:15" x14ac:dyDescent="0.2">
      <c r="A168" s="17">
        <v>7513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0</v>
      </c>
    </row>
    <row r="169" spans="1:15" x14ac:dyDescent="0.2">
      <c r="A169" s="17">
        <v>7515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1</v>
      </c>
      <c r="K169">
        <v>0</v>
      </c>
      <c r="L169">
        <v>1</v>
      </c>
      <c r="M169">
        <v>0</v>
      </c>
      <c r="N169">
        <v>0</v>
      </c>
    </row>
    <row r="170" spans="1:15" x14ac:dyDescent="0.2">
      <c r="A170" s="17">
        <v>7516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1</v>
      </c>
      <c r="K170">
        <v>0</v>
      </c>
      <c r="L170">
        <v>0</v>
      </c>
      <c r="M170">
        <v>0</v>
      </c>
      <c r="N170">
        <v>0</v>
      </c>
    </row>
    <row r="171" spans="1:15" x14ac:dyDescent="0.2">
      <c r="A171" s="17">
        <v>7519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1</v>
      </c>
      <c r="K171">
        <v>0</v>
      </c>
      <c r="L171">
        <v>0</v>
      </c>
      <c r="M171">
        <v>0</v>
      </c>
      <c r="N171">
        <v>0</v>
      </c>
    </row>
    <row r="172" spans="1:15" x14ac:dyDescent="0.2">
      <c r="A172" s="17">
        <v>7520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1</v>
      </c>
      <c r="K172">
        <v>0</v>
      </c>
      <c r="L172">
        <v>0</v>
      </c>
      <c r="M172">
        <v>0</v>
      </c>
      <c r="N172">
        <v>0</v>
      </c>
    </row>
    <row r="173" spans="1:15" x14ac:dyDescent="0.2">
      <c r="A173" s="17">
        <v>7521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1</v>
      </c>
      <c r="K173">
        <v>0</v>
      </c>
      <c r="L173">
        <v>0</v>
      </c>
      <c r="M173">
        <v>0</v>
      </c>
      <c r="N173">
        <v>0</v>
      </c>
    </row>
    <row r="174" spans="1:15" x14ac:dyDescent="0.2">
      <c r="A174" s="17">
        <v>7522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1</v>
      </c>
      <c r="K174">
        <v>0</v>
      </c>
      <c r="L174">
        <v>0</v>
      </c>
      <c r="M174">
        <v>0</v>
      </c>
      <c r="N174">
        <v>0</v>
      </c>
    </row>
    <row r="175" spans="1:15" x14ac:dyDescent="0.2">
      <c r="A175" s="17">
        <v>7523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1</v>
      </c>
      <c r="K175">
        <v>0</v>
      </c>
      <c r="L175">
        <v>0</v>
      </c>
      <c r="M175">
        <v>0</v>
      </c>
      <c r="N175">
        <v>0</v>
      </c>
    </row>
    <row r="176" spans="1:15" x14ac:dyDescent="0.2">
      <c r="A176" s="17">
        <v>7524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1</v>
      </c>
      <c r="K176">
        <v>0</v>
      </c>
      <c r="L176">
        <v>0</v>
      </c>
      <c r="M176">
        <v>0</v>
      </c>
      <c r="N176">
        <v>0</v>
      </c>
    </row>
    <row r="177" spans="1:15" x14ac:dyDescent="0.2">
      <c r="A177" s="17">
        <v>7525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1</v>
      </c>
      <c r="K177">
        <v>0</v>
      </c>
      <c r="L177">
        <v>0</v>
      </c>
      <c r="M177">
        <v>0</v>
      </c>
      <c r="N177">
        <v>0</v>
      </c>
    </row>
    <row r="178" spans="1:15" x14ac:dyDescent="0.2">
      <c r="A178" s="17">
        <v>7526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1</v>
      </c>
      <c r="K178">
        <v>0</v>
      </c>
      <c r="L178">
        <v>0</v>
      </c>
      <c r="M178">
        <v>0</v>
      </c>
      <c r="N178">
        <v>0</v>
      </c>
    </row>
    <row r="179" spans="1:15" x14ac:dyDescent="0.2">
      <c r="A179" s="17">
        <v>7527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1</v>
      </c>
      <c r="K179">
        <v>0</v>
      </c>
      <c r="L179">
        <v>0</v>
      </c>
      <c r="M179">
        <v>0</v>
      </c>
      <c r="N179">
        <v>0</v>
      </c>
    </row>
    <row r="180" spans="1:15" x14ac:dyDescent="0.2">
      <c r="A180" s="17">
        <v>7528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1</v>
      </c>
      <c r="K180">
        <v>0</v>
      </c>
      <c r="L180">
        <v>0</v>
      </c>
      <c r="M180">
        <v>0</v>
      </c>
      <c r="N180">
        <v>0</v>
      </c>
    </row>
    <row r="181" spans="1:15" x14ac:dyDescent="0.2">
      <c r="A181" s="17">
        <v>7530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1</v>
      </c>
      <c r="K181">
        <v>0</v>
      </c>
      <c r="L181">
        <v>0</v>
      </c>
      <c r="M181">
        <v>0</v>
      </c>
      <c r="N181">
        <v>0</v>
      </c>
    </row>
    <row r="182" spans="1:15" x14ac:dyDescent="0.2">
      <c r="A182" s="17">
        <v>7531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1</v>
      </c>
      <c r="K182">
        <v>0</v>
      </c>
      <c r="L182">
        <v>0</v>
      </c>
      <c r="M182">
        <v>0</v>
      </c>
      <c r="N182">
        <v>0</v>
      </c>
    </row>
    <row r="183" spans="1:15" x14ac:dyDescent="0.2">
      <c r="A183" s="17">
        <v>7532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1</v>
      </c>
      <c r="K183">
        <v>1</v>
      </c>
      <c r="L183">
        <v>0</v>
      </c>
      <c r="M183">
        <v>0</v>
      </c>
      <c r="N183">
        <v>0</v>
      </c>
      <c r="O183" t="s">
        <v>54</v>
      </c>
    </row>
    <row r="184" spans="1:15" x14ac:dyDescent="0.2">
      <c r="A184" s="17">
        <v>7533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1</v>
      </c>
      <c r="K184">
        <v>0</v>
      </c>
      <c r="L184">
        <v>0</v>
      </c>
      <c r="M184">
        <v>0</v>
      </c>
      <c r="N184">
        <v>0</v>
      </c>
    </row>
    <row r="185" spans="1:15" x14ac:dyDescent="0.2">
      <c r="A185" s="17">
        <v>7534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1</v>
      </c>
      <c r="K185">
        <v>0</v>
      </c>
      <c r="L185">
        <v>0</v>
      </c>
      <c r="M185">
        <v>0</v>
      </c>
      <c r="N185">
        <v>0</v>
      </c>
    </row>
    <row r="186" spans="1:15" x14ac:dyDescent="0.2">
      <c r="A186" s="17">
        <v>7535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1</v>
      </c>
      <c r="K186">
        <v>0</v>
      </c>
      <c r="L186">
        <v>0</v>
      </c>
      <c r="M186">
        <v>0</v>
      </c>
      <c r="N186">
        <v>0</v>
      </c>
    </row>
    <row r="187" spans="1:15" x14ac:dyDescent="0.2">
      <c r="A187" s="17">
        <v>7561</v>
      </c>
      <c r="B187">
        <v>0</v>
      </c>
      <c r="C187">
        <v>1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</row>
    <row r="188" spans="1:15" x14ac:dyDescent="0.2">
      <c r="A188" s="17">
        <v>7562</v>
      </c>
      <c r="B188">
        <v>0</v>
      </c>
      <c r="C188">
        <v>1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</row>
    <row r="189" spans="1:15" x14ac:dyDescent="0.2">
      <c r="A189" s="17">
        <v>7564</v>
      </c>
      <c r="B189">
        <v>0</v>
      </c>
      <c r="C189">
        <v>1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</row>
    <row r="190" spans="1:15" x14ac:dyDescent="0.2">
      <c r="A190" s="17">
        <v>7565</v>
      </c>
      <c r="B190">
        <v>0</v>
      </c>
      <c r="C190">
        <v>1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5" x14ac:dyDescent="0.2">
      <c r="A191" s="17">
        <v>7566</v>
      </c>
      <c r="B191">
        <v>0</v>
      </c>
      <c r="C191">
        <v>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5" x14ac:dyDescent="0.2">
      <c r="A192" s="17">
        <v>7567</v>
      </c>
      <c r="B192">
        <v>0</v>
      </c>
      <c r="C192">
        <v>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 x14ac:dyDescent="0.2">
      <c r="A193" s="17">
        <v>7568</v>
      </c>
      <c r="B193">
        <v>0</v>
      </c>
      <c r="C193">
        <v>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1</v>
      </c>
      <c r="K193">
        <v>0</v>
      </c>
      <c r="L193">
        <v>0</v>
      </c>
      <c r="M193">
        <v>0</v>
      </c>
      <c r="N193">
        <v>0</v>
      </c>
    </row>
    <row r="194" spans="1:14" x14ac:dyDescent="0.2">
      <c r="A194" s="17">
        <v>7569</v>
      </c>
      <c r="B194">
        <v>0</v>
      </c>
      <c r="C194">
        <v>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 x14ac:dyDescent="0.2">
      <c r="A195" s="17">
        <v>7570</v>
      </c>
      <c r="B195">
        <v>0</v>
      </c>
      <c r="C195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 x14ac:dyDescent="0.2">
      <c r="A196" s="17">
        <v>7571</v>
      </c>
      <c r="B196">
        <v>0</v>
      </c>
      <c r="C196">
        <v>1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 spans="1:14" x14ac:dyDescent="0.2">
      <c r="A197" s="17">
        <v>7572</v>
      </c>
      <c r="B197">
        <v>0</v>
      </c>
      <c r="C197">
        <v>1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 x14ac:dyDescent="0.2">
      <c r="A198" s="17">
        <v>7575</v>
      </c>
      <c r="B198">
        <v>0</v>
      </c>
      <c r="C198">
        <v>1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 x14ac:dyDescent="0.2">
      <c r="A199" s="17">
        <v>7576</v>
      </c>
      <c r="B199">
        <v>0</v>
      </c>
      <c r="C199">
        <v>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 x14ac:dyDescent="0.2">
      <c r="A200" s="17">
        <v>7577</v>
      </c>
      <c r="B200">
        <v>0</v>
      </c>
      <c r="C200">
        <v>1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4" x14ac:dyDescent="0.2">
      <c r="A201" s="17">
        <v>7578</v>
      </c>
      <c r="B201">
        <v>0</v>
      </c>
      <c r="C201">
        <v>1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 spans="1:14" x14ac:dyDescent="0.2">
      <c r="A202" s="17">
        <v>7580</v>
      </c>
      <c r="B202">
        <v>0</v>
      </c>
      <c r="C202">
        <v>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</row>
    <row r="203" spans="1:14" x14ac:dyDescent="0.2">
      <c r="A203" s="17">
        <v>7581</v>
      </c>
      <c r="B203">
        <v>0</v>
      </c>
      <c r="C203">
        <v>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</row>
    <row r="204" spans="1:14" x14ac:dyDescent="0.2">
      <c r="A204" s="17">
        <v>7582</v>
      </c>
      <c r="B204">
        <v>0</v>
      </c>
      <c r="C204">
        <v>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 spans="1:14" x14ac:dyDescent="0.2">
      <c r="A205" s="17">
        <v>7583</v>
      </c>
      <c r="B205">
        <v>0</v>
      </c>
      <c r="C205">
        <v>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 spans="1:14" x14ac:dyDescent="0.2">
      <c r="A206" s="17">
        <v>7585</v>
      </c>
      <c r="B206">
        <v>0</v>
      </c>
      <c r="C206">
        <v>1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</row>
    <row r="207" spans="1:14" x14ac:dyDescent="0.2">
      <c r="A207" s="17">
        <v>7586</v>
      </c>
      <c r="B207">
        <v>0</v>
      </c>
      <c r="C207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 spans="1:14" x14ac:dyDescent="0.2">
      <c r="A208" s="17">
        <v>7587</v>
      </c>
      <c r="B208">
        <v>0</v>
      </c>
      <c r="C208">
        <v>1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</row>
    <row r="209" spans="1:15" x14ac:dyDescent="0.2">
      <c r="A209" s="17">
        <v>7589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1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</row>
    <row r="210" spans="1:15" x14ac:dyDescent="0.2">
      <c r="A210" s="17">
        <v>7590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</row>
    <row r="211" spans="1:15" x14ac:dyDescent="0.2">
      <c r="A211" s="17">
        <v>7592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</row>
    <row r="212" spans="1:15" x14ac:dyDescent="0.2">
      <c r="A212" s="17">
        <v>7593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1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</row>
    <row r="213" spans="1:15" x14ac:dyDescent="0.2">
      <c r="A213" s="17">
        <v>7595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1</v>
      </c>
      <c r="H213">
        <v>0</v>
      </c>
      <c r="I213">
        <v>0</v>
      </c>
      <c r="J213" s="24">
        <v>1</v>
      </c>
      <c r="K213">
        <v>0</v>
      </c>
      <c r="L213">
        <v>0</v>
      </c>
      <c r="M213">
        <v>0</v>
      </c>
      <c r="N213">
        <v>0</v>
      </c>
      <c r="O213" t="s">
        <v>49</v>
      </c>
    </row>
    <row r="214" spans="1:15" x14ac:dyDescent="0.2">
      <c r="A214" s="17">
        <v>7597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1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5" x14ac:dyDescent="0.2">
      <c r="A215" s="17">
        <v>7598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 spans="1:15" x14ac:dyDescent="0.2">
      <c r="A216" s="17">
        <v>7599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1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5" x14ac:dyDescent="0.2">
      <c r="A217" s="17">
        <v>7600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 spans="1:15" x14ac:dyDescent="0.2">
      <c r="A218" s="17">
        <v>7601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1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5" x14ac:dyDescent="0.2">
      <c r="A219" s="17">
        <v>7602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1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5" x14ac:dyDescent="0.2">
      <c r="A220" s="17">
        <v>7603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</row>
    <row r="221" spans="1:15" x14ac:dyDescent="0.2">
      <c r="A221" s="17">
        <v>7606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0</v>
      </c>
    </row>
    <row r="222" spans="1:15" x14ac:dyDescent="0.2">
      <c r="A222" s="17">
        <v>7607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1</v>
      </c>
      <c r="J222">
        <v>0</v>
      </c>
      <c r="K222">
        <v>0</v>
      </c>
      <c r="L222">
        <v>0</v>
      </c>
      <c r="M222">
        <v>0</v>
      </c>
      <c r="N222">
        <v>0</v>
      </c>
    </row>
    <row r="223" spans="1:15" x14ac:dyDescent="0.2">
      <c r="A223" s="17">
        <v>7609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1</v>
      </c>
      <c r="J223">
        <v>0</v>
      </c>
      <c r="K223">
        <v>0</v>
      </c>
      <c r="L223">
        <v>0</v>
      </c>
      <c r="M223">
        <v>0</v>
      </c>
      <c r="N223">
        <v>0</v>
      </c>
    </row>
    <row r="224" spans="1:15" x14ac:dyDescent="0.2">
      <c r="A224" s="17">
        <v>7610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1</v>
      </c>
      <c r="J224">
        <v>0</v>
      </c>
      <c r="K224">
        <v>0</v>
      </c>
      <c r="L224">
        <v>0</v>
      </c>
      <c r="M224">
        <v>0</v>
      </c>
      <c r="N224">
        <v>0</v>
      </c>
    </row>
    <row r="225" spans="1:14" x14ac:dyDescent="0.2">
      <c r="A225" s="17">
        <v>7611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0</v>
      </c>
    </row>
    <row r="226" spans="1:14" x14ac:dyDescent="0.2">
      <c r="A226" s="17">
        <v>7612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</row>
    <row r="227" spans="1:14" x14ac:dyDescent="0.2">
      <c r="A227" s="17">
        <v>7613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</row>
    <row r="228" spans="1:14" x14ac:dyDescent="0.2">
      <c r="A228" s="17">
        <v>7614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0</v>
      </c>
    </row>
    <row r="229" spans="1:14" x14ac:dyDescent="0.2">
      <c r="A229" s="17">
        <v>7616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</row>
    <row r="230" spans="1:14" x14ac:dyDescent="0.2">
      <c r="A230" s="17">
        <v>7617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</row>
    <row r="231" spans="1:14" x14ac:dyDescent="0.2">
      <c r="A231" s="17">
        <v>7629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1</v>
      </c>
      <c r="K231">
        <v>0</v>
      </c>
      <c r="L231">
        <v>0</v>
      </c>
      <c r="M231">
        <v>0</v>
      </c>
      <c r="N231">
        <v>0</v>
      </c>
    </row>
    <row r="232" spans="1:14" x14ac:dyDescent="0.2">
      <c r="A232" s="17">
        <v>7630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1</v>
      </c>
      <c r="K232">
        <v>0</v>
      </c>
      <c r="L232">
        <v>0</v>
      </c>
      <c r="M232">
        <v>0</v>
      </c>
      <c r="N232">
        <v>0</v>
      </c>
    </row>
    <row r="233" spans="1:14" x14ac:dyDescent="0.2">
      <c r="A233" s="17">
        <v>7631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1</v>
      </c>
      <c r="K233">
        <v>0</v>
      </c>
      <c r="L233">
        <v>1</v>
      </c>
      <c r="M233">
        <v>0</v>
      </c>
      <c r="N233">
        <v>0</v>
      </c>
    </row>
    <row r="234" spans="1:14" x14ac:dyDescent="0.2">
      <c r="A234" s="17">
        <v>7632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1</v>
      </c>
      <c r="K234">
        <v>0</v>
      </c>
      <c r="L234">
        <v>0</v>
      </c>
      <c r="M234">
        <v>0</v>
      </c>
      <c r="N234">
        <v>0</v>
      </c>
    </row>
    <row r="235" spans="1:14" x14ac:dyDescent="0.2">
      <c r="A235" s="17">
        <v>7633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1</v>
      </c>
      <c r="K235">
        <v>0</v>
      </c>
      <c r="L235">
        <v>0</v>
      </c>
      <c r="M235">
        <v>0</v>
      </c>
      <c r="N235">
        <v>0</v>
      </c>
    </row>
    <row r="236" spans="1:14" x14ac:dyDescent="0.2">
      <c r="A236" s="17">
        <v>7634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1</v>
      </c>
      <c r="K236">
        <v>0</v>
      </c>
      <c r="L236">
        <v>0</v>
      </c>
      <c r="M236">
        <v>0</v>
      </c>
      <c r="N236">
        <v>0</v>
      </c>
    </row>
    <row r="237" spans="1:14" x14ac:dyDescent="0.2">
      <c r="A237" s="17">
        <v>7635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1</v>
      </c>
      <c r="K237">
        <v>0</v>
      </c>
      <c r="L237">
        <v>0</v>
      </c>
      <c r="M237">
        <v>0</v>
      </c>
      <c r="N237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CF5A5-5C3E-7046-ABFE-DF92A3975A05}">
  <dimension ref="A1:F12"/>
  <sheetViews>
    <sheetView workbookViewId="0">
      <selection activeCell="D22" sqref="D22"/>
    </sheetView>
  </sheetViews>
  <sheetFormatPr baseColWidth="10" defaultRowHeight="16" x14ac:dyDescent="0.2"/>
  <cols>
    <col min="1" max="1" width="15.5" customWidth="1"/>
    <col min="2" max="2" width="12.1640625" customWidth="1"/>
    <col min="3" max="3" width="15.6640625" customWidth="1"/>
    <col min="4" max="4" width="19.5" customWidth="1"/>
    <col min="5" max="5" width="20.5" customWidth="1"/>
    <col min="6" max="6" width="14" customWidth="1"/>
  </cols>
  <sheetData>
    <row r="1" spans="1:6" x14ac:dyDescent="0.2">
      <c r="A1" s="2" t="s">
        <v>9</v>
      </c>
      <c r="B1" s="3" t="s">
        <v>8</v>
      </c>
      <c r="C1" s="3" t="s">
        <v>21</v>
      </c>
      <c r="D1" s="3" t="s">
        <v>24</v>
      </c>
      <c r="E1" s="3" t="s">
        <v>25</v>
      </c>
      <c r="F1" s="4" t="s">
        <v>26</v>
      </c>
    </row>
    <row r="2" spans="1:6" x14ac:dyDescent="0.2">
      <c r="A2" s="5" t="s">
        <v>1</v>
      </c>
      <c r="B2" s="6">
        <v>91</v>
      </c>
      <c r="C2" s="6">
        <v>91</v>
      </c>
      <c r="D2" s="6">
        <v>2</v>
      </c>
      <c r="E2" s="6">
        <v>2</v>
      </c>
      <c r="F2" s="7" t="s">
        <v>4</v>
      </c>
    </row>
    <row r="3" spans="1:6" x14ac:dyDescent="0.2">
      <c r="A3" s="5" t="s">
        <v>1</v>
      </c>
      <c r="B3" s="6"/>
      <c r="C3" s="6"/>
      <c r="D3" s="6" t="s">
        <v>23</v>
      </c>
      <c r="E3" s="6">
        <v>2</v>
      </c>
      <c r="F3" s="7" t="s">
        <v>5</v>
      </c>
    </row>
    <row r="4" spans="1:6" x14ac:dyDescent="0.2">
      <c r="A4" s="8"/>
      <c r="B4" s="9"/>
      <c r="C4" s="9"/>
      <c r="D4" s="9"/>
      <c r="E4" s="9"/>
      <c r="F4" s="10"/>
    </row>
    <row r="5" spans="1:6" x14ac:dyDescent="0.2">
      <c r="A5" s="5" t="s">
        <v>2</v>
      </c>
      <c r="B5" s="6">
        <v>23</v>
      </c>
      <c r="C5" s="6">
        <f>Table2[[#This Row],[no.tagged]]+C2-D2</f>
        <v>112</v>
      </c>
      <c r="D5" s="6">
        <v>0</v>
      </c>
      <c r="E5" s="6">
        <v>1</v>
      </c>
      <c r="F5" s="7" t="s">
        <v>4</v>
      </c>
    </row>
    <row r="6" spans="1:6" x14ac:dyDescent="0.2">
      <c r="A6" s="5" t="s">
        <v>2</v>
      </c>
      <c r="B6" s="6"/>
      <c r="C6" s="6"/>
      <c r="D6" s="6" t="s">
        <v>23</v>
      </c>
      <c r="E6" s="6">
        <v>0</v>
      </c>
      <c r="F6" s="7" t="s">
        <v>5</v>
      </c>
    </row>
    <row r="7" spans="1:6" x14ac:dyDescent="0.2">
      <c r="A7" s="8"/>
      <c r="B7" s="9"/>
      <c r="C7" s="9"/>
      <c r="D7" s="9"/>
      <c r="E7" s="9"/>
      <c r="F7" s="10"/>
    </row>
    <row r="8" spans="1:6" x14ac:dyDescent="0.2">
      <c r="A8" s="5" t="s">
        <v>3</v>
      </c>
      <c r="B8" s="6">
        <v>122</v>
      </c>
      <c r="C8" s="6">
        <f>Table2[[#This Row],[no.tagged]]+B5+B2-D2</f>
        <v>234</v>
      </c>
      <c r="D8" s="6" t="s">
        <v>23</v>
      </c>
      <c r="E8" s="6">
        <v>5</v>
      </c>
      <c r="F8" s="7" t="s">
        <v>4</v>
      </c>
    </row>
    <row r="9" spans="1:6" x14ac:dyDescent="0.2">
      <c r="A9" s="11" t="s">
        <v>3</v>
      </c>
      <c r="B9" s="12"/>
      <c r="C9" s="12"/>
      <c r="D9" s="12" t="s">
        <v>23</v>
      </c>
      <c r="E9" s="12">
        <v>5</v>
      </c>
      <c r="F9" s="13" t="s">
        <v>5</v>
      </c>
    </row>
    <row r="10" spans="1:6" x14ac:dyDescent="0.2">
      <c r="A10" s="15"/>
      <c r="B10" s="20"/>
      <c r="C10" s="20"/>
      <c r="D10" s="20"/>
      <c r="E10" s="20"/>
      <c r="F10" s="14"/>
    </row>
    <row r="11" spans="1:6" x14ac:dyDescent="0.2">
      <c r="A11" s="11" t="s">
        <v>22</v>
      </c>
      <c r="B11" s="12">
        <v>0</v>
      </c>
      <c r="C11" s="12">
        <f>B8+B5+B2-D2-E2-E3-E5-E8-E9</f>
        <v>219</v>
      </c>
      <c r="D11" s="12" t="s">
        <v>23</v>
      </c>
      <c r="E11" s="12" t="s">
        <v>23</v>
      </c>
      <c r="F11" s="7" t="s">
        <v>4</v>
      </c>
    </row>
    <row r="12" spans="1:6" x14ac:dyDescent="0.2">
      <c r="A12" s="11" t="s">
        <v>22</v>
      </c>
      <c r="B12" s="12"/>
      <c r="C12" s="12"/>
      <c r="D12" s="12" t="s">
        <v>23</v>
      </c>
      <c r="E12" s="12" t="s">
        <v>23</v>
      </c>
      <c r="F12" s="13" t="s">
        <v>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F0A11-3B76-A847-BC6E-8A55B2A3F879}">
  <dimension ref="A1:F17"/>
  <sheetViews>
    <sheetView workbookViewId="0">
      <selection sqref="A1:F17"/>
    </sheetView>
  </sheetViews>
  <sheetFormatPr baseColWidth="10" defaultRowHeight="16" x14ac:dyDescent="0.2"/>
  <cols>
    <col min="2" max="2" width="13.83203125" customWidth="1"/>
    <col min="3" max="3" width="16.1640625" customWidth="1"/>
    <col min="4" max="4" width="15.1640625" customWidth="1"/>
    <col min="5" max="5" width="14.5" customWidth="1"/>
  </cols>
  <sheetData>
    <row r="1" spans="1:6" x14ac:dyDescent="0.2">
      <c r="A1" s="2" t="s">
        <v>9</v>
      </c>
      <c r="B1" s="3" t="s">
        <v>8</v>
      </c>
      <c r="C1" s="3" t="s">
        <v>21</v>
      </c>
      <c r="D1" s="3" t="s">
        <v>7</v>
      </c>
      <c r="E1" s="3" t="s">
        <v>6</v>
      </c>
      <c r="F1" s="4" t="s">
        <v>16</v>
      </c>
    </row>
    <row r="2" spans="1:6" x14ac:dyDescent="0.2">
      <c r="A2" s="5" t="s">
        <v>1</v>
      </c>
      <c r="B2" s="23">
        <v>44</v>
      </c>
      <c r="C2" s="23">
        <v>44</v>
      </c>
      <c r="D2" s="23">
        <v>2</v>
      </c>
      <c r="E2" s="23">
        <v>2</v>
      </c>
      <c r="F2" s="21" t="s">
        <v>17</v>
      </c>
    </row>
    <row r="3" spans="1:6" x14ac:dyDescent="0.2">
      <c r="A3" s="5" t="s">
        <v>1</v>
      </c>
      <c r="B3" s="6">
        <v>47</v>
      </c>
      <c r="C3" s="6">
        <v>47</v>
      </c>
      <c r="D3" s="6">
        <v>0</v>
      </c>
      <c r="E3" s="6">
        <v>2</v>
      </c>
      <c r="F3" s="7" t="s">
        <v>18</v>
      </c>
    </row>
    <row r="4" spans="1:6" x14ac:dyDescent="0.2">
      <c r="A4" s="8"/>
      <c r="B4" s="9"/>
      <c r="C4" s="9"/>
      <c r="D4" s="9"/>
      <c r="E4" s="9"/>
      <c r="F4" s="10"/>
    </row>
    <row r="5" spans="1:6" x14ac:dyDescent="0.2">
      <c r="A5" s="5" t="s">
        <v>2</v>
      </c>
      <c r="B5" s="23">
        <v>12</v>
      </c>
      <c r="C5" s="23">
        <f>Table25[[#This Row],[no.tagged]]+B2-D2</f>
        <v>54</v>
      </c>
      <c r="D5" s="23">
        <v>0</v>
      </c>
      <c r="E5" s="23">
        <v>1</v>
      </c>
      <c r="F5" s="21" t="s">
        <v>17</v>
      </c>
    </row>
    <row r="6" spans="1:6" x14ac:dyDescent="0.2">
      <c r="A6" s="5" t="s">
        <v>2</v>
      </c>
      <c r="B6" s="6">
        <v>11</v>
      </c>
      <c r="C6" s="6">
        <f>Table25[[#This Row],[no.tagged]]+B3-D3</f>
        <v>58</v>
      </c>
      <c r="D6" s="6">
        <v>0</v>
      </c>
      <c r="E6" s="6">
        <v>0</v>
      </c>
      <c r="F6" s="7" t="s">
        <v>18</v>
      </c>
    </row>
    <row r="7" spans="1:6" x14ac:dyDescent="0.2">
      <c r="A7" s="8"/>
      <c r="B7" s="9"/>
      <c r="C7" s="9"/>
      <c r="D7" s="9"/>
      <c r="E7" s="9"/>
      <c r="F7" s="10"/>
    </row>
    <row r="8" spans="1:6" x14ac:dyDescent="0.2">
      <c r="A8" s="5" t="s">
        <v>3</v>
      </c>
      <c r="B8" s="23">
        <v>63</v>
      </c>
      <c r="C8" s="23">
        <f>Table25[[#This Row],[no.tagged]]+B5+B2-D2</f>
        <v>117</v>
      </c>
      <c r="D8" s="23">
        <v>0</v>
      </c>
      <c r="E8" s="23">
        <v>5</v>
      </c>
      <c r="F8" s="21" t="s">
        <v>17</v>
      </c>
    </row>
    <row r="9" spans="1:6" x14ac:dyDescent="0.2">
      <c r="A9" s="11" t="s">
        <v>3</v>
      </c>
      <c r="B9" s="12">
        <v>59</v>
      </c>
      <c r="C9" s="12">
        <f>Table25[[#This Row],[no.tagged]]+B6+B3</f>
        <v>117</v>
      </c>
      <c r="D9" s="12">
        <v>0</v>
      </c>
      <c r="E9" s="12">
        <v>5</v>
      </c>
      <c r="F9" s="13" t="s">
        <v>18</v>
      </c>
    </row>
    <row r="10" spans="1:6" x14ac:dyDescent="0.2">
      <c r="A10" s="8"/>
      <c r="B10" s="9"/>
      <c r="C10" s="22"/>
      <c r="D10" s="9"/>
      <c r="E10" s="9"/>
      <c r="F10" s="10"/>
    </row>
    <row r="11" spans="1:6" x14ac:dyDescent="0.2">
      <c r="A11" s="5" t="s">
        <v>22</v>
      </c>
      <c r="B11" s="23">
        <v>0</v>
      </c>
      <c r="C11" s="23">
        <f>B8+B5+B2-D2-E2-E5-E8</f>
        <v>109</v>
      </c>
      <c r="D11" s="23" t="s">
        <v>23</v>
      </c>
      <c r="E11" s="23" t="s">
        <v>23</v>
      </c>
      <c r="F11" s="21" t="s">
        <v>17</v>
      </c>
    </row>
    <row r="12" spans="1:6" x14ac:dyDescent="0.2">
      <c r="A12" s="11" t="s">
        <v>22</v>
      </c>
      <c r="B12" s="12">
        <v>0</v>
      </c>
      <c r="C12" s="12">
        <f>B9+B6+B3-E3-E6-E9</f>
        <v>110</v>
      </c>
      <c r="D12" s="12" t="s">
        <v>23</v>
      </c>
      <c r="E12" s="12" t="s">
        <v>23</v>
      </c>
      <c r="F12" s="13" t="s">
        <v>18</v>
      </c>
    </row>
    <row r="14" spans="1:6" x14ac:dyDescent="0.2">
      <c r="A14" t="s">
        <v>19</v>
      </c>
    </row>
    <row r="15" spans="1:6" x14ac:dyDescent="0.2">
      <c r="A15">
        <f>2/B2</f>
        <v>4.5454545454545456E-2</v>
      </c>
    </row>
    <row r="16" spans="1:6" x14ac:dyDescent="0.2">
      <c r="A16" t="s">
        <v>20</v>
      </c>
    </row>
    <row r="17" spans="1:1" x14ac:dyDescent="0.2">
      <c r="A17">
        <f>(E8+E5+E2)/C8</f>
        <v>6.8376068376068383E-2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tr_annual</vt:lpstr>
      <vt:lpstr>tr_biannual</vt:lpstr>
      <vt:lpstr>tr_monthly</vt:lpstr>
      <vt:lpstr>Sheet2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Hirsch</dc:creator>
  <cp:lastModifiedBy>Elizabeth Hirsch</cp:lastModifiedBy>
  <dcterms:created xsi:type="dcterms:W3CDTF">2024-02-09T19:07:27Z</dcterms:created>
  <dcterms:modified xsi:type="dcterms:W3CDTF">2024-02-15T22:09:35Z</dcterms:modified>
</cp:coreProperties>
</file>