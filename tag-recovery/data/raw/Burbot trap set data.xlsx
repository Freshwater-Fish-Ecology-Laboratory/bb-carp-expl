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lh/bb-tagrec-2/carp_lk/data/raw/"/>
    </mc:Choice>
  </mc:AlternateContent>
  <xr:revisionPtr revIDLastSave="0" documentId="13_ncr:1_{82D60F7C-5534-4A49-917A-1036FE691501}" xr6:coauthVersionLast="47" xr6:coauthVersionMax="47" xr10:uidLastSave="{00000000-0000-0000-0000-000000000000}"/>
  <bookViews>
    <workbookView xWindow="15960" yWindow="500" windowWidth="26220" windowHeight="17500" xr2:uid="{86DFD7B6-7F9A-9342-B578-457748111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U25" i="1"/>
  <c r="U18" i="1"/>
  <c r="U21" i="1"/>
  <c r="U23" i="1"/>
  <c r="U2" i="1"/>
  <c r="U45" i="1"/>
  <c r="U46" i="1"/>
  <c r="U47" i="1"/>
  <c r="U53" i="1"/>
  <c r="U56" i="1"/>
  <c r="U51" i="1"/>
  <c r="U49" i="1"/>
  <c r="U52" i="1"/>
  <c r="U48" i="1"/>
  <c r="U50" i="1"/>
  <c r="U55" i="1"/>
  <c r="U54" i="1"/>
  <c r="U62" i="1"/>
  <c r="U60" i="1"/>
  <c r="U58" i="1"/>
  <c r="U59" i="1"/>
  <c r="U61" i="1"/>
  <c r="U57" i="1"/>
  <c r="U79" i="1"/>
  <c r="U81" i="1"/>
  <c r="U82" i="1"/>
  <c r="U80" i="1"/>
  <c r="U83" i="1"/>
  <c r="U87" i="1"/>
  <c r="U89" i="1"/>
  <c r="U91" i="1"/>
  <c r="U93" i="1"/>
  <c r="U95" i="1"/>
  <c r="U97" i="1"/>
  <c r="U99" i="1"/>
  <c r="U101" i="1"/>
  <c r="U84" i="1"/>
  <c r="U88" i="1"/>
  <c r="U86" i="1"/>
  <c r="U96" i="1"/>
  <c r="U94" i="1"/>
  <c r="U92" i="1"/>
  <c r="U102" i="1"/>
  <c r="U90" i="1"/>
  <c r="U100" i="1"/>
  <c r="U98" i="1"/>
  <c r="U85" i="1"/>
  <c r="U110" i="1"/>
  <c r="U108" i="1"/>
  <c r="U116" i="1"/>
  <c r="U106" i="1"/>
  <c r="U114" i="1"/>
  <c r="U104" i="1"/>
  <c r="U112" i="1"/>
  <c r="U103" i="1"/>
  <c r="U111" i="1"/>
  <c r="U109" i="1"/>
  <c r="U117" i="1"/>
  <c r="U107" i="1"/>
  <c r="U115" i="1"/>
  <c r="U105" i="1"/>
  <c r="U113" i="1"/>
  <c r="U124" i="1"/>
  <c r="U123" i="1"/>
  <c r="U121" i="1"/>
  <c r="U122" i="1"/>
  <c r="U118" i="1"/>
  <c r="U120" i="1"/>
  <c r="U119" i="1"/>
  <c r="U171" i="1"/>
  <c r="U160" i="1"/>
  <c r="U169" i="1"/>
  <c r="U184" i="1"/>
  <c r="U163" i="1"/>
  <c r="U180" i="1"/>
  <c r="U161" i="1"/>
  <c r="U177" i="1"/>
  <c r="U175" i="1"/>
  <c r="U182" i="1"/>
  <c r="U185" i="1"/>
  <c r="U183" i="1"/>
  <c r="U178" i="1"/>
  <c r="U159" i="1"/>
  <c r="U179" i="1"/>
  <c r="U174" i="1"/>
  <c r="U172" i="1"/>
  <c r="U166" i="1"/>
  <c r="U168" i="1"/>
  <c r="U181" i="1"/>
  <c r="U176" i="1"/>
  <c r="U173" i="1"/>
  <c r="U167" i="1"/>
  <c r="U170" i="1"/>
  <c r="U192" i="1"/>
  <c r="U198" i="1"/>
  <c r="U188" i="1"/>
  <c r="U162" i="1"/>
  <c r="U194" i="1"/>
  <c r="U193" i="1"/>
  <c r="U199" i="1"/>
  <c r="U189" i="1"/>
  <c r="U195" i="1"/>
  <c r="U165" i="1"/>
  <c r="U164" i="1"/>
  <c r="U186" i="1"/>
  <c r="U196" i="1"/>
  <c r="U200" i="1"/>
  <c r="U190" i="1"/>
  <c r="U202" i="1"/>
  <c r="U187" i="1"/>
  <c r="U197" i="1"/>
  <c r="U201" i="1"/>
  <c r="U191" i="1"/>
  <c r="U203" i="1"/>
  <c r="U13" i="1"/>
  <c r="U7" i="1"/>
  <c r="U8" i="1"/>
  <c r="U19" i="1"/>
  <c r="U17" i="1"/>
  <c r="U28" i="1"/>
  <c r="U40" i="1"/>
  <c r="U38" i="1"/>
  <c r="U15" i="1"/>
  <c r="U10" i="1"/>
  <c r="U5" i="1"/>
  <c r="U33" i="1"/>
  <c r="U41" i="1"/>
  <c r="U12" i="1"/>
  <c r="U34" i="1"/>
  <c r="U9" i="1"/>
  <c r="U24" i="1"/>
  <c r="U39" i="1"/>
  <c r="U42" i="1"/>
  <c r="U36" i="1"/>
  <c r="U35" i="1"/>
  <c r="U37" i="1"/>
  <c r="U32" i="1"/>
  <c r="U30" i="1"/>
  <c r="U29" i="1"/>
  <c r="U31" i="1"/>
  <c r="U26" i="1"/>
  <c r="U27" i="1"/>
  <c r="U16" i="1"/>
  <c r="U6" i="1"/>
  <c r="U14" i="1"/>
  <c r="U4" i="1"/>
  <c r="U43" i="1"/>
  <c r="U44" i="1"/>
  <c r="U11" i="1"/>
  <c r="U20" i="1"/>
  <c r="U128" i="1"/>
  <c r="U139" i="1"/>
  <c r="U153" i="1"/>
  <c r="U156" i="1"/>
  <c r="U151" i="1"/>
  <c r="U155" i="1"/>
  <c r="U143" i="1"/>
  <c r="U158" i="1"/>
  <c r="U148" i="1"/>
  <c r="U150" i="1"/>
  <c r="U146" i="1"/>
  <c r="U147" i="1"/>
  <c r="U152" i="1"/>
  <c r="U144" i="1"/>
  <c r="U154" i="1"/>
  <c r="U145" i="1"/>
  <c r="U149" i="1"/>
  <c r="U157" i="1"/>
  <c r="U219" i="1"/>
  <c r="U216" i="1"/>
  <c r="U215" i="1"/>
  <c r="U212" i="1"/>
  <c r="U209" i="1"/>
  <c r="U214" i="1"/>
  <c r="U207" i="1"/>
  <c r="U217" i="1"/>
  <c r="U204" i="1"/>
  <c r="U210" i="1"/>
  <c r="U206" i="1"/>
  <c r="U205" i="1"/>
  <c r="U213" i="1"/>
  <c r="U211" i="1"/>
  <c r="U218" i="1"/>
  <c r="U208" i="1"/>
  <c r="U126" i="1"/>
  <c r="U130" i="1"/>
  <c r="U135" i="1"/>
  <c r="U125" i="1"/>
  <c r="U132" i="1"/>
  <c r="U138" i="1"/>
  <c r="U142" i="1"/>
  <c r="U127" i="1"/>
  <c r="U64" i="1"/>
  <c r="U77" i="1"/>
  <c r="U71" i="1"/>
  <c r="U63" i="1"/>
  <c r="U65" i="1"/>
  <c r="U68" i="1"/>
  <c r="U72" i="1"/>
  <c r="U66" i="1"/>
  <c r="U129" i="1"/>
  <c r="U140" i="1"/>
  <c r="U134" i="1"/>
  <c r="U136" i="1"/>
  <c r="U137" i="1"/>
  <c r="U141" i="1"/>
  <c r="U131" i="1"/>
  <c r="U133" i="1"/>
  <c r="U78" i="1"/>
  <c r="U76" i="1"/>
  <c r="U75" i="1"/>
  <c r="U74" i="1"/>
  <c r="U69" i="1"/>
  <c r="U70" i="1"/>
  <c r="U67" i="1"/>
  <c r="U73" i="1"/>
  <c r="U22" i="1"/>
</calcChain>
</file>

<file path=xl/sharedStrings.xml><?xml version="1.0" encoding="utf-8"?>
<sst xmlns="http://schemas.openxmlformats.org/spreadsheetml/2006/main" count="1916" uniqueCount="307">
  <si>
    <t>Net ID</t>
  </si>
  <si>
    <t>Start Time</t>
  </si>
  <si>
    <t>End Time</t>
  </si>
  <si>
    <t>Method</t>
  </si>
  <si>
    <t>Lat</t>
  </si>
  <si>
    <t>Lon</t>
  </si>
  <si>
    <t>Habitat</t>
  </si>
  <si>
    <t>Species Code</t>
  </si>
  <si>
    <t>Count Fish</t>
  </si>
  <si>
    <t>Comments/Notes</t>
  </si>
  <si>
    <t>1-298</t>
  </si>
  <si>
    <t>CT</t>
  </si>
  <si>
    <t>BT</t>
  </si>
  <si>
    <t>NA</t>
  </si>
  <si>
    <t>Depth (m)</t>
  </si>
  <si>
    <t>RB</t>
  </si>
  <si>
    <t>Bait type</t>
  </si>
  <si>
    <t>Bait weight (g)</t>
  </si>
  <si>
    <t>1-910</t>
  </si>
  <si>
    <t>1-1028</t>
  </si>
  <si>
    <t>BB</t>
  </si>
  <si>
    <t>1-1360</t>
  </si>
  <si>
    <t>Adjusted from original trap location: dragged 170m out to depth 7.0m</t>
  </si>
  <si>
    <t>1-2154</t>
  </si>
  <si>
    <t>100m from original site</t>
  </si>
  <si>
    <t>1-2535</t>
  </si>
  <si>
    <t>in place of 2407</t>
  </si>
  <si>
    <t>1-2946</t>
  </si>
  <si>
    <t>not recorded</t>
  </si>
  <si>
    <t>1-2949</t>
  </si>
  <si>
    <t>1-4292</t>
  </si>
  <si>
    <t>SLIN</t>
  </si>
  <si>
    <t>Sample Design</t>
  </si>
  <si>
    <t>SR</t>
  </si>
  <si>
    <t>Bait Set</t>
  </si>
  <si>
    <t>1.5" mesh</t>
  </si>
  <si>
    <t>1.5-6</t>
  </si>
  <si>
    <t>SLIN1</t>
  </si>
  <si>
    <t>SLIN2</t>
  </si>
  <si>
    <t>1-1996</t>
  </si>
  <si>
    <t>1-2113</t>
  </si>
  <si>
    <t>1-1460</t>
  </si>
  <si>
    <t>1-1733</t>
  </si>
  <si>
    <t>2-9</t>
  </si>
  <si>
    <t>1-1871</t>
  </si>
  <si>
    <t>1-1988</t>
  </si>
  <si>
    <t>1-2624</t>
  </si>
  <si>
    <t>KO</t>
  </si>
  <si>
    <t>1-2239</t>
  </si>
  <si>
    <t>1-2363</t>
  </si>
  <si>
    <t>1-4323</t>
  </si>
  <si>
    <t>MW</t>
  </si>
  <si>
    <t>frozen whitefish bait</t>
  </si>
  <si>
    <t>1-4771</t>
  </si>
  <si>
    <t>fresh bait</t>
  </si>
  <si>
    <t>1-4031</t>
  </si>
  <si>
    <t>1-4770</t>
  </si>
  <si>
    <t>1-5407</t>
  </si>
  <si>
    <t>1-5357</t>
  </si>
  <si>
    <t>1-5419</t>
  </si>
  <si>
    <t>1-5421</t>
  </si>
  <si>
    <t>1-5293</t>
  </si>
  <si>
    <t>STOLEN/MISSING</t>
  </si>
  <si>
    <t>1-2289</t>
  </si>
  <si>
    <t>WF</t>
  </si>
  <si>
    <t>1-1535</t>
  </si>
  <si>
    <t>1-2167</t>
  </si>
  <si>
    <t>"sunk"</t>
  </si>
  <si>
    <t>1-143</t>
  </si>
  <si>
    <t>1-62</t>
  </si>
  <si>
    <t>40m away from waypoint</t>
  </si>
  <si>
    <t>1-91</t>
  </si>
  <si>
    <t>1-2042</t>
  </si>
  <si>
    <t>1-2678</t>
  </si>
  <si>
    <t>1-4914</t>
  </si>
  <si>
    <t>1-4832</t>
  </si>
  <si>
    <t>1-5064</t>
  </si>
  <si>
    <t>1-4759</t>
  </si>
  <si>
    <t>1-4662</t>
  </si>
  <si>
    <t>1-4567</t>
  </si>
  <si>
    <t>1-4746</t>
  </si>
  <si>
    <t>1-4298</t>
  </si>
  <si>
    <t>1-4310</t>
  </si>
  <si>
    <t>TZ1-1242M</t>
  </si>
  <si>
    <t>TZ1-1239</t>
  </si>
  <si>
    <t>TZ1-1181</t>
  </si>
  <si>
    <t>TZ1-1204</t>
  </si>
  <si>
    <t>TZ1-124</t>
  </si>
  <si>
    <t>TZ1-1156M</t>
  </si>
  <si>
    <t>WF+RB</t>
  </si>
  <si>
    <t>TZ4-1183D</t>
  </si>
  <si>
    <t>reset</t>
  </si>
  <si>
    <t>Bacon/shrimp/tilapia</t>
  </si>
  <si>
    <t>TZ4-1316D</t>
  </si>
  <si>
    <t>TZ4-1234D</t>
  </si>
  <si>
    <t>TZ4-1183S</t>
  </si>
  <si>
    <t>TZ4-1289S</t>
  </si>
  <si>
    <t>TZ4-1316S</t>
  </si>
  <si>
    <t>TZ4-1234S</t>
  </si>
  <si>
    <t>TZ4-1045R</t>
  </si>
  <si>
    <t>Burbot in trap to acclimate</t>
  </si>
  <si>
    <t>Temp (deg C)</t>
  </si>
  <si>
    <t>TZ1-475M</t>
  </si>
  <si>
    <t>TZ1-511M</t>
  </si>
  <si>
    <t>TZ1-520M</t>
  </si>
  <si>
    <t>TZ1-492M</t>
  </si>
  <si>
    <t>TZ2-1098M</t>
  </si>
  <si>
    <t>TZ2-1249M</t>
  </si>
  <si>
    <t>TZ2-1087M</t>
  </si>
  <si>
    <t>TZ2-1140M</t>
  </si>
  <si>
    <t>RB+WF</t>
  </si>
  <si>
    <t>TZ2-1004M</t>
  </si>
  <si>
    <t>RB+ chicken liver</t>
  </si>
  <si>
    <t>TZ2-1136M</t>
  </si>
  <si>
    <t>TZ2-1124M</t>
  </si>
  <si>
    <t>reset, same location. Added more RB bait</t>
  </si>
  <si>
    <t>RB+ steelhead</t>
  </si>
  <si>
    <t>reset, added 1x steelhead filet (store-bought)</t>
  </si>
  <si>
    <t>WF+ steelhead</t>
  </si>
  <si>
    <t>TZ2-1000M</t>
  </si>
  <si>
    <t>WF + chicken liver</t>
  </si>
  <si>
    <t>TZ2-1376M</t>
  </si>
  <si>
    <t>steelhead</t>
  </si>
  <si>
    <t>TZ2-1366M</t>
  </si>
  <si>
    <t>TZ2-1342M</t>
  </si>
  <si>
    <t>TZ2-1350M</t>
  </si>
  <si>
    <t>TZ2-1267M</t>
  </si>
  <si>
    <t>TZ2-1297M</t>
  </si>
  <si>
    <t>TZ2-1283M</t>
  </si>
  <si>
    <t>TZ4-1155</t>
  </si>
  <si>
    <t>TZ4-1166</t>
  </si>
  <si>
    <t>TZ4-1165</t>
  </si>
  <si>
    <t>TZ4-1128</t>
  </si>
  <si>
    <t>TZ4-1006</t>
  </si>
  <si>
    <t>TZ4-1149D</t>
  </si>
  <si>
    <t>TZ4-1113D</t>
  </si>
  <si>
    <t>TZ4-1105D</t>
  </si>
  <si>
    <t>TZ4-1064D</t>
  </si>
  <si>
    <t>Set shallower than 10m because temperature was &lt;16C.</t>
  </si>
  <si>
    <t>TZ4-1091D</t>
  </si>
  <si>
    <t>TZ4-1149M2</t>
  </si>
  <si>
    <t>moved from 1149D</t>
  </si>
  <si>
    <t>TZ4-1113M2</t>
  </si>
  <si>
    <t>moved from 1113D</t>
  </si>
  <si>
    <t>TZ4-1105M2</t>
  </si>
  <si>
    <t>moved from 1105D</t>
  </si>
  <si>
    <t>checked and re-set</t>
  </si>
  <si>
    <t>TZ4-1091M2</t>
  </si>
  <si>
    <t>moved from 1091D</t>
  </si>
  <si>
    <t>TZ4-1264D</t>
  </si>
  <si>
    <t>Bacon/shrimp/herring</t>
  </si>
  <si>
    <t>Deep set. Pulled partially and moved to shallow next day.</t>
  </si>
  <si>
    <t>TZ4-1311D</t>
  </si>
  <si>
    <t>TZ4-1188D</t>
  </si>
  <si>
    <t>TZ4-1045D</t>
  </si>
  <si>
    <t>TZ4-1276D</t>
  </si>
  <si>
    <t>TZ4-1264S</t>
  </si>
  <si>
    <t>TZ4-1311S</t>
  </si>
  <si>
    <t>raised from 1311D</t>
  </si>
  <si>
    <t>raised from 1264D</t>
  </si>
  <si>
    <t>TZ4-1188S</t>
  </si>
  <si>
    <t>raised from 1188D</t>
  </si>
  <si>
    <t>TZ4-1276S</t>
  </si>
  <si>
    <t>raised from 1276D</t>
  </si>
  <si>
    <t>TZ4-1045S</t>
  </si>
  <si>
    <t>raised from 1045D</t>
  </si>
  <si>
    <t>TZ4-1321S</t>
  </si>
  <si>
    <t>TZ4-1321D</t>
  </si>
  <si>
    <t>TZ4-1289D</t>
  </si>
  <si>
    <t>Start Month</t>
  </si>
  <si>
    <t>6</t>
  </si>
  <si>
    <t>TZ1-1101</t>
  </si>
  <si>
    <t>TZ1-1114</t>
  </si>
  <si>
    <t>TZ1-1056</t>
  </si>
  <si>
    <t>TZ1-10</t>
  </si>
  <si>
    <t>TZ4-1105</t>
  </si>
  <si>
    <t>TZ4-1113M</t>
  </si>
  <si>
    <t>TZ4-1149M</t>
  </si>
  <si>
    <t>TZ4-1045M</t>
  </si>
  <si>
    <t>TZ4-1040</t>
  </si>
  <si>
    <t>TZ4-1091M</t>
  </si>
  <si>
    <t>TZ4-1013</t>
  </si>
  <si>
    <t>TZ4-1123</t>
  </si>
  <si>
    <t>TZ1-1076</t>
  </si>
  <si>
    <t>TZ1-0</t>
  </si>
  <si>
    <t>TZ1-1106</t>
  </si>
  <si>
    <t>TZ1-1027</t>
  </si>
  <si>
    <t>TZ1-83-1</t>
  </si>
  <si>
    <t>Herring 2 units</t>
  </si>
  <si>
    <t>TZ1-83-2</t>
  </si>
  <si>
    <t>TZ1-83-3</t>
  </si>
  <si>
    <t>TZ1-83-4</t>
  </si>
  <si>
    <t>TZ1-83-5</t>
  </si>
  <si>
    <t>TZ1-83-6</t>
  </si>
  <si>
    <t>TZ1-83-7</t>
  </si>
  <si>
    <t>TZ1-83-8</t>
  </si>
  <si>
    <t>TZ1-83-10</t>
  </si>
  <si>
    <t>TZ1-83-9</t>
  </si>
  <si>
    <t>TZ1-83-2S</t>
  </si>
  <si>
    <t>Same temp as TZ4-83-6S</t>
  </si>
  <si>
    <t>TZ1-83-1S</t>
  </si>
  <si>
    <t>TZ1-83-6S</t>
  </si>
  <si>
    <t>Fish not swimming very well. Warm water temp even at 9-10m depths</t>
  </si>
  <si>
    <t>TZ1-83-5S</t>
  </si>
  <si>
    <t>TZ1-83-4S</t>
  </si>
  <si>
    <t>reset from 8/3/21</t>
  </si>
  <si>
    <t>reset from 8/3/22</t>
  </si>
  <si>
    <t>reset from 8/3/23</t>
  </si>
  <si>
    <t>reset from 8/3/24</t>
  </si>
  <si>
    <t>reset from 8/3/25</t>
  </si>
  <si>
    <t>BURBOT COUNT</t>
  </si>
  <si>
    <t>Zone</t>
  </si>
  <si>
    <t>2</t>
  </si>
  <si>
    <t>3</t>
  </si>
  <si>
    <t>4</t>
  </si>
  <si>
    <t>1</t>
  </si>
  <si>
    <t>TZ2-1402</t>
  </si>
  <si>
    <t>TZ2-213</t>
  </si>
  <si>
    <t>weedy, 100m from waypoint</t>
  </si>
  <si>
    <t>TZ3-1062</t>
  </si>
  <si>
    <t>120m off point</t>
  </si>
  <si>
    <t>TZ3-1084</t>
  </si>
  <si>
    <t>TZ3-1055</t>
  </si>
  <si>
    <t>NSC</t>
  </si>
  <si>
    <t>TZ3-1078</t>
  </si>
  <si>
    <t>TZ3-1007</t>
  </si>
  <si>
    <t>TZ3-1094</t>
  </si>
  <si>
    <t>TZ3-1036</t>
  </si>
  <si>
    <t>TZ3-1050</t>
  </si>
  <si>
    <t>TZ3-1026</t>
  </si>
  <si>
    <t>TZ3-1032</t>
  </si>
  <si>
    <t>TZ3-1058</t>
  </si>
  <si>
    <t>TZ3-1009</t>
  </si>
  <si>
    <t>TZ3-1071</t>
  </si>
  <si>
    <t>TZ3-1015</t>
  </si>
  <si>
    <t>TZ3-104</t>
  </si>
  <si>
    <t>Trap open/loose</t>
  </si>
  <si>
    <t>TZ3-109</t>
  </si>
  <si>
    <t>TZ4-183</t>
  </si>
  <si>
    <t>TZ4-153</t>
  </si>
  <si>
    <t>TZ4-15</t>
  </si>
  <si>
    <t>TZ4-140</t>
  </si>
  <si>
    <t>TZ4-1363</t>
  </si>
  <si>
    <t>TZ4-1422</t>
  </si>
  <si>
    <t>TZ4-1343</t>
  </si>
  <si>
    <t>TZ4-159</t>
  </si>
  <si>
    <t>150m from point</t>
  </si>
  <si>
    <t>TZ4-1329</t>
  </si>
  <si>
    <t>TZ4-1386</t>
  </si>
  <si>
    <t>170m from point</t>
  </si>
  <si>
    <t>TZ4-1334</t>
  </si>
  <si>
    <t>TZ4-1331</t>
  </si>
  <si>
    <t>TZ4-1414</t>
  </si>
  <si>
    <t>TZ4-1397</t>
  </si>
  <si>
    <t>TZ4-169</t>
  </si>
  <si>
    <t>220m away from shore</t>
  </si>
  <si>
    <t>TZ4-1358</t>
  </si>
  <si>
    <t>TZ2-14</t>
  </si>
  <si>
    <t>60m from waypoint</t>
  </si>
  <si>
    <t>TZ2-1403</t>
  </si>
  <si>
    <t>TZ2-182</t>
  </si>
  <si>
    <t>TZ2-1396</t>
  </si>
  <si>
    <t>TZ2-161</t>
  </si>
  <si>
    <t>TZ2-203</t>
  </si>
  <si>
    <t>TZ2-226</t>
  </si>
  <si>
    <t>moved 100m inshore</t>
  </si>
  <si>
    <t>TZ1-1372</t>
  </si>
  <si>
    <t>TZ1-191</t>
  </si>
  <si>
    <t>TZ1-145</t>
  </si>
  <si>
    <t>TZ1-1369</t>
  </si>
  <si>
    <t>HR tagged</t>
  </si>
  <si>
    <t>TZ1-1389</t>
  </si>
  <si>
    <t>TZ1-1415</t>
  </si>
  <si>
    <t>TZ1-148</t>
  </si>
  <si>
    <t>by beach/boat ramp</t>
  </si>
  <si>
    <t>TZ1-141</t>
  </si>
  <si>
    <t>set 100m out from waypoint; weedy</t>
  </si>
  <si>
    <t>TZ2-177</t>
  </si>
  <si>
    <t>TZ2-199</t>
  </si>
  <si>
    <t>TZ2-202</t>
  </si>
  <si>
    <t>set 50m inshore from point</t>
  </si>
  <si>
    <t>TZ2-220</t>
  </si>
  <si>
    <t>TZ2-158</t>
  </si>
  <si>
    <t>about 75m away from point</t>
  </si>
  <si>
    <t>TZ2-165</t>
  </si>
  <si>
    <t>TZ1-197</t>
  </si>
  <si>
    <t>set 75m away, shallow sand flat edge</t>
  </si>
  <si>
    <t>TZ1-19</t>
  </si>
  <si>
    <t>set 150m into shore; see waypoint 323</t>
  </si>
  <si>
    <t>set 175m out, sand, see waypoint 324</t>
  </si>
  <si>
    <t>TZ1-181</t>
  </si>
  <si>
    <t>set 300m out, see waypoint 325, sand</t>
  </si>
  <si>
    <t>TZ1-163</t>
  </si>
  <si>
    <t>set 75m away, Nautley shallows</t>
  </si>
  <si>
    <t>TZ1-1421</t>
  </si>
  <si>
    <t>TZ1-1423</t>
  </si>
  <si>
    <t>TZ1-1413</t>
  </si>
  <si>
    <t>weedy nearby</t>
  </si>
  <si>
    <t>TZ1-149</t>
  </si>
  <si>
    <t>just off boat launch, waypoint 326, 250m from original point</t>
  </si>
  <si>
    <t>Set duration</t>
  </si>
  <si>
    <t>Start Datetime</t>
  </si>
  <si>
    <t>End Datetime</t>
  </si>
  <si>
    <t>CCG</t>
  </si>
  <si>
    <t>RSC</t>
  </si>
  <si>
    <t>River otter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</si>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</sst>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/mm/dd\ hh:mm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22">
    <xf numFmtId="0" fontId="0" fillId="0" borderId="0" xfId="0"/>
    <xf numFmtId="20" fontId="0" fillId="0" borderId="0" xfId="0" applyNumberFormat="1"/>
    <xf numFmtId="49" fontId="0" fillId="0" borderId="0" xfId="0" applyNumberFormat="1"/>
    <xf numFmtId="49" fontId="0" fillId="0" borderId="1" xfId="0" applyNumberFormat="1" applyBorder="1"/>
    <xf numFmtId="49" fontId="0" fillId="3" borderId="0" xfId="0" applyNumberFormat="1" applyFill="1"/>
    <xf numFmtId="0" fontId="0" fillId="3" borderId="0" xfId="0" applyFill="1"/>
    <xf numFmtId="20" fontId="0" fillId="3" borderId="0" xfId="0" applyNumberFormat="1" applyFill="1"/>
    <xf numFmtId="49" fontId="2" fillId="0" borderId="0" xfId="0" applyNumberFormat="1" applyFont="1"/>
    <xf numFmtId="164" fontId="0" fillId="0" borderId="0" xfId="0" applyNumberFormat="1"/>
    <xf numFmtId="164" fontId="2" fillId="2" borderId="0" xfId="0" applyNumberFormat="1" applyFont="1" applyFill="1"/>
    <xf numFmtId="164" fontId="0" fillId="3" borderId="0" xfId="0" applyNumberFormat="1" applyFill="1"/>
    <xf numFmtId="164" fontId="0" fillId="0" borderId="1" xfId="0" applyNumberFormat="1" applyBorder="1"/>
    <xf numFmtId="49" fontId="2" fillId="2" borderId="1" xfId="0" applyNumberFormat="1" applyFont="1" applyFill="1" applyBorder="1"/>
    <xf numFmtId="49" fontId="2" fillId="0" borderId="1" xfId="0" applyNumberFormat="1" applyFont="1" applyBorder="1"/>
    <xf numFmtId="164" fontId="2" fillId="2" borderId="1" xfId="0" applyNumberFormat="1" applyFont="1" applyFill="1" applyBorder="1"/>
    <xf numFmtId="49" fontId="0" fillId="0" borderId="0" xfId="0" applyNumberFormat="1" applyBorder="1"/>
    <xf numFmtId="49" fontId="2" fillId="0" borderId="0" xfId="0" applyNumberFormat="1" applyFont="1" applyBorder="1"/>
    <xf numFmtId="49" fontId="0" fillId="3" borderId="0" xfId="0" applyNumberFormat="1" applyFill="1" applyBorder="1"/>
    <xf numFmtId="164" fontId="0" fillId="0" borderId="0" xfId="0" applyNumberFormat="1" applyBorder="1"/>
    <xf numFmtId="164" fontId="2" fillId="2" borderId="0" xfId="0" applyNumberFormat="1" applyFont="1" applyFill="1" applyBorder="1"/>
    <xf numFmtId="164" fontId="0" fillId="3" borderId="0" xfId="0" applyNumberFormat="1" applyFill="1" applyBorder="1"/>
    <xf numFmtId="49" fontId="2" fillId="2" borderId="0" xfId="0" applyNumberFormat="1" applyFont="1" applyFill="1" applyBorder="1"/>
  </cellXfs>
  <cellStyles count="1">
    <cellStyle name="Normal" xfId="0" builtinId="0"/>
  </cellStyles>
  <dxfs count="4">
    <dxf>
      <numFmt numFmtId="25" formatCode="h:mm"/>
    </dxf>
    <dxf>
      <numFmt numFmtId="164" formatCode="yy/mm/dd\ hh:mm"/>
    </dxf>
    <dxf>
      <numFmt numFmtId="164" formatCode="yy/mm/dd\ hh:mm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FE4BD-8C6C-5242-A51B-7C006DC77226}" name="Table1" displayName="Table1" ref="A1:U231" totalsRowShown="0">
  <autoFilter ref="A1:U231" xr:uid="{F14BA08A-4E09-C24B-A75B-CAF36966E50A}"/>
  <sortState xmlns:xlrd2="http://schemas.microsoft.com/office/spreadsheetml/2017/richdata2" ref="A2:U231">
    <sortCondition ref="A1:A231"/>
  </sortState>
  <tableColumns count="21">
    <tableColumn id="1" xr3:uid="{E343C171-031E-2443-A308-A37D0386C355}" name="Net ID"/>
    <tableColumn id="25" xr3:uid="{F82164B8-0D83-D44E-B94D-728E89A425FF}" name="Zone"/>
    <tableColumn id="23" xr3:uid="{C9BEB4CB-9385-3E41-91E9-65C34A79D2AA}" name="Start Month" dataDxfId="3"/>
    <tableColumn id="2" xr3:uid="{9FA550EC-F557-3144-AEC0-5B1059A4969C}" name="Start Datetime" dataDxfId="2"/>
    <tableColumn id="3" xr3:uid="{5296D017-627F-C444-844C-C2DB05E89133}" name="End Datetime" dataDxfId="1"/>
    <tableColumn id="4" xr3:uid="{08A6F394-F1C0-D94E-A47C-81BD8E2ABA90}" name="Start Time"/>
    <tableColumn id="5" xr3:uid="{74154315-828F-5749-BC08-629B53616641}" name="End Time"/>
    <tableColumn id="6" xr3:uid="{841F0308-4D1E-7D46-B607-42E42CF81ECD}" name="Method"/>
    <tableColumn id="7" xr3:uid="{947E024E-A8F5-6445-AE94-010C4692775B}" name="Lat"/>
    <tableColumn id="8" xr3:uid="{AF776875-4EFE-5946-9073-D443BB947DF1}" name="Lon"/>
    <tableColumn id="9" xr3:uid="{85935A38-0390-2B4F-8C08-B62F32C6D045}" name="Habitat"/>
    <tableColumn id="16" xr3:uid="{963E2CE0-0C58-A949-AA05-9255B2252639}" name="Sample Design"/>
    <tableColumn id="10" xr3:uid="{0AB9E250-4C83-8A40-803C-8172B4871AD6}" name="Species Code"/>
    <tableColumn id="11" xr3:uid="{FCFCBEB5-6937-B14A-ABCD-2E9518065B7B}" name="Count Fish"/>
    <tableColumn id="24" xr3:uid="{CD99F350-EEA9-6A4C-A796-3F9B7808C6F5}" name="BURBOT COUNT"/>
    <tableColumn id="12" xr3:uid="{ED601B02-CB72-A94C-A4E0-1EC8C3579EF8}" name="Bait type"/>
    <tableColumn id="13" xr3:uid="{05065478-4EAC-D54E-88EE-84C5985F54DD}" name="Bait weight (g)"/>
    <tableColumn id="14" xr3:uid="{F509E8E6-D4A0-C84F-9B05-DD5E065E71BC}" name="Depth (m)"/>
    <tableColumn id="17" xr3:uid="{44FA1FE3-226D-624A-81E2-FC7120064E54}" name="Temp (deg C)"/>
    <tableColumn id="15" xr3:uid="{B200F5D1-1654-7145-AC54-533D1BC72C9F}" name="Comments/Notes"/>
    <tableColumn id="18" xr3:uid="{86D556FA-527D-1449-897D-7F2056D4718D}" name="Set duration" dataDxfId="0">
      <calculatedColumnFormula>Table1[[#This Row],[End Datetime]]-Table1[[#This Row],[Start Datetime]]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1240-4E94-9146-9A06-893DCE47AF17}">
  <sheetPr codeName="Sheet1"/>
  <dimension ref="A1:U231"/>
  <sheetViews>
    <sheetView tabSelected="1" topLeftCell="C141" workbookViewId="0">
      <selection activeCell="D159" sqref="D159:D219"/>
    </sheetView>
  </sheetViews>
  <sheetFormatPr baseColWidth="10" defaultRowHeight="16" x14ac:dyDescent="0.2"/>
  <cols>
    <col min="3" max="3" width="10.83203125" style="2"/>
    <col min="4" max="4" width="16.33203125" style="8" bestFit="1" customWidth="1"/>
    <col min="5" max="5" width="11.83203125" style="8" customWidth="1"/>
    <col min="7" max="7" width="12.1640625" customWidth="1"/>
    <col min="8" max="8" width="11.1640625" customWidth="1"/>
    <col min="14" max="14" width="14.1640625" customWidth="1"/>
    <col min="15" max="16" width="12" customWidth="1"/>
    <col min="18" max="18" width="15.83203125" customWidth="1"/>
    <col min="19" max="20" width="11.83203125" customWidth="1"/>
    <col min="21" max="21" width="18" customWidth="1"/>
  </cols>
  <sheetData>
    <row r="1" spans="1:21" x14ac:dyDescent="0.2">
      <c r="A1" t="s">
        <v>0</v>
      </c>
      <c r="B1" t="s">
        <v>211</v>
      </c>
      <c r="C1" s="2" t="s">
        <v>169</v>
      </c>
      <c r="D1" s="8" t="s">
        <v>301</v>
      </c>
      <c r="E1" s="8" t="s">
        <v>302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32</v>
      </c>
      <c r="M1" t="s">
        <v>7</v>
      </c>
      <c r="N1" t="s">
        <v>8</v>
      </c>
      <c r="O1" t="s">
        <v>210</v>
      </c>
      <c r="P1" t="s">
        <v>16</v>
      </c>
      <c r="Q1" t="s">
        <v>17</v>
      </c>
      <c r="R1" t="s">
        <v>14</v>
      </c>
      <c r="S1" t="s">
        <v>101</v>
      </c>
      <c r="T1" t="s">
        <v>9</v>
      </c>
      <c r="U1" t="s">
        <v>300</v>
      </c>
    </row>
    <row r="2" spans="1:21" x14ac:dyDescent="0.2">
      <c r="A2" t="s">
        <v>19</v>
      </c>
      <c r="B2" s="15">
        <v>1</v>
      </c>
      <c r="C2" s="15">
        <v>5</v>
      </c>
      <c r="D2" s="18">
        <v>44329.635416666664</v>
      </c>
      <c r="E2" s="18">
        <v>44330.611111111109</v>
      </c>
      <c r="F2" s="1">
        <v>0.63541666666666663</v>
      </c>
      <c r="G2" s="1">
        <v>0.61111111111111105</v>
      </c>
      <c r="H2" t="s">
        <v>11</v>
      </c>
      <c r="I2">
        <v>54.066012999999998</v>
      </c>
      <c r="J2">
        <v>-124.623334</v>
      </c>
      <c r="K2" t="s">
        <v>12</v>
      </c>
      <c r="L2" t="s">
        <v>33</v>
      </c>
      <c r="M2" t="s">
        <v>20</v>
      </c>
      <c r="N2">
        <v>1</v>
      </c>
      <c r="O2">
        <v>1</v>
      </c>
      <c r="P2" t="s">
        <v>15</v>
      </c>
      <c r="Q2">
        <v>650</v>
      </c>
      <c r="R2">
        <v>3.5</v>
      </c>
      <c r="S2" t="s">
        <v>13</v>
      </c>
      <c r="T2" t="s">
        <v>13</v>
      </c>
      <c r="U2" s="1">
        <f>Table1[[#This Row],[End Datetime]]-Table1[[#This Row],[Start Datetime]]</f>
        <v>0.97569444444525288</v>
      </c>
    </row>
    <row r="3" spans="1:21" x14ac:dyDescent="0.2">
      <c r="A3" t="s">
        <v>21</v>
      </c>
      <c r="B3" s="15">
        <v>1</v>
      </c>
      <c r="C3" s="15">
        <v>5</v>
      </c>
      <c r="D3" s="18">
        <v>44329.659722222219</v>
      </c>
      <c r="E3" s="18">
        <v>44330.6875</v>
      </c>
      <c r="F3" s="1">
        <v>0.65972222222222221</v>
      </c>
      <c r="G3" s="1">
        <v>0.6875</v>
      </c>
      <c r="H3" t="s">
        <v>11</v>
      </c>
      <c r="I3">
        <v>54.069870000000002</v>
      </c>
      <c r="J3">
        <v>-124.62189600000001</v>
      </c>
      <c r="K3" t="s">
        <v>12</v>
      </c>
      <c r="L3" t="s">
        <v>33</v>
      </c>
      <c r="M3" t="s">
        <v>13</v>
      </c>
      <c r="N3">
        <v>0</v>
      </c>
      <c r="O3">
        <v>0</v>
      </c>
      <c r="P3" t="s">
        <v>15</v>
      </c>
      <c r="Q3">
        <v>200</v>
      </c>
      <c r="R3">
        <v>7</v>
      </c>
      <c r="S3" t="s">
        <v>13</v>
      </c>
      <c r="T3" t="s">
        <v>22</v>
      </c>
      <c r="U3" s="1">
        <f>Table1[[#This Row],[End Datetime]]-Table1[[#This Row],[Start Datetime]]</f>
        <v>1.0277777777810115</v>
      </c>
    </row>
    <row r="4" spans="1:21" x14ac:dyDescent="0.2">
      <c r="A4" s="2" t="s">
        <v>68</v>
      </c>
      <c r="B4" s="15" t="s">
        <v>214</v>
      </c>
      <c r="C4" s="15">
        <v>5</v>
      </c>
      <c r="D4" s="18">
        <v>44335.725694444445</v>
      </c>
      <c r="E4" s="18">
        <v>44336.527777777781</v>
      </c>
      <c r="F4" s="1">
        <v>0.72569444444444453</v>
      </c>
      <c r="G4" s="1">
        <v>0.52777777777777779</v>
      </c>
      <c r="H4" t="s">
        <v>11</v>
      </c>
      <c r="I4">
        <v>54.059334999999997</v>
      </c>
      <c r="J4">
        <v>-124.879374</v>
      </c>
      <c r="K4" t="s">
        <v>12</v>
      </c>
      <c r="L4" t="s">
        <v>33</v>
      </c>
      <c r="M4" t="s">
        <v>20</v>
      </c>
      <c r="N4">
        <v>1</v>
      </c>
      <c r="O4">
        <v>1</v>
      </c>
      <c r="P4" t="s">
        <v>64</v>
      </c>
      <c r="Q4" t="s">
        <v>13</v>
      </c>
      <c r="R4">
        <v>5.0999999999999996</v>
      </c>
      <c r="S4" t="s">
        <v>13</v>
      </c>
      <c r="T4" t="s">
        <v>67</v>
      </c>
      <c r="U4" s="1">
        <f>Table1[[#This Row],[End Datetime]]-Table1[[#This Row],[Start Datetime]]</f>
        <v>0.80208333333575865</v>
      </c>
    </row>
    <row r="5" spans="1:21" x14ac:dyDescent="0.2">
      <c r="A5" s="2" t="s">
        <v>41</v>
      </c>
      <c r="B5" s="15" t="s">
        <v>212</v>
      </c>
      <c r="C5" s="15">
        <v>5</v>
      </c>
      <c r="D5" s="18">
        <v>44333.576388888891</v>
      </c>
      <c r="E5" s="18">
        <v>44334.628472222219</v>
      </c>
      <c r="F5" s="1">
        <v>0.57638888888888895</v>
      </c>
      <c r="G5" s="1">
        <v>0.62847222222222221</v>
      </c>
      <c r="H5" t="s">
        <v>11</v>
      </c>
      <c r="I5">
        <v>54.071112999999997</v>
      </c>
      <c r="J5">
        <v>-124.701725</v>
      </c>
      <c r="K5" t="s">
        <v>12</v>
      </c>
      <c r="L5" t="s">
        <v>33</v>
      </c>
      <c r="M5" t="s">
        <v>13</v>
      </c>
      <c r="N5">
        <v>0</v>
      </c>
      <c r="O5">
        <v>0</v>
      </c>
      <c r="P5" t="s">
        <v>15</v>
      </c>
      <c r="Q5">
        <v>150</v>
      </c>
      <c r="R5">
        <v>1.5</v>
      </c>
      <c r="S5" t="s">
        <v>13</v>
      </c>
      <c r="T5" t="s">
        <v>13</v>
      </c>
      <c r="U5" s="1">
        <f>Table1[[#This Row],[End Datetime]]-Table1[[#This Row],[Start Datetime]]</f>
        <v>1.0520833333284827</v>
      </c>
    </row>
    <row r="6" spans="1:21" x14ac:dyDescent="0.2">
      <c r="A6" s="2" t="s">
        <v>65</v>
      </c>
      <c r="B6" s="2" t="s">
        <v>214</v>
      </c>
      <c r="C6" s="2">
        <v>5</v>
      </c>
      <c r="D6" s="8">
        <v>44335.697916666664</v>
      </c>
      <c r="E6" s="8">
        <v>44336.552083333336</v>
      </c>
      <c r="F6" s="1">
        <v>0.69791666666666663</v>
      </c>
      <c r="G6" s="1">
        <v>0.55208333333333337</v>
      </c>
      <c r="H6" t="s">
        <v>11</v>
      </c>
      <c r="I6">
        <v>54.072518000000002</v>
      </c>
      <c r="J6">
        <v>-124.81470400000001</v>
      </c>
      <c r="K6" t="s">
        <v>12</v>
      </c>
      <c r="L6" t="s">
        <v>33</v>
      </c>
      <c r="M6" t="s">
        <v>13</v>
      </c>
      <c r="N6">
        <v>0</v>
      </c>
      <c r="O6">
        <v>0</v>
      </c>
      <c r="P6" t="s">
        <v>64</v>
      </c>
      <c r="Q6" t="s">
        <v>13</v>
      </c>
      <c r="R6">
        <v>7.9</v>
      </c>
      <c r="S6" t="s">
        <v>13</v>
      </c>
      <c r="T6" t="s">
        <v>13</v>
      </c>
      <c r="U6" s="1">
        <f>Table1[[#This Row],[End Datetime]]-Table1[[#This Row],[Start Datetime]]</f>
        <v>0.85416666667151731</v>
      </c>
    </row>
    <row r="7" spans="1:21" x14ac:dyDescent="0.2">
      <c r="A7" s="2" t="s">
        <v>42</v>
      </c>
      <c r="B7" s="2" t="s">
        <v>212</v>
      </c>
      <c r="C7" s="2">
        <v>5</v>
      </c>
      <c r="D7" s="8">
        <v>44333.583333333336</v>
      </c>
      <c r="E7" s="8">
        <v>44334.625</v>
      </c>
      <c r="F7" s="1">
        <v>0.58333333333333337</v>
      </c>
      <c r="G7" s="1">
        <v>0.625</v>
      </c>
      <c r="H7" t="s">
        <v>11</v>
      </c>
      <c r="I7">
        <v>54.072434000000001</v>
      </c>
      <c r="J7">
        <v>-124.718194</v>
      </c>
      <c r="K7" t="s">
        <v>12</v>
      </c>
      <c r="L7" t="s">
        <v>33</v>
      </c>
      <c r="M7" t="s">
        <v>13</v>
      </c>
      <c r="N7">
        <v>0</v>
      </c>
      <c r="O7">
        <v>0</v>
      </c>
      <c r="P7" t="s">
        <v>15</v>
      </c>
      <c r="Q7">
        <v>100</v>
      </c>
      <c r="R7">
        <v>1</v>
      </c>
      <c r="S7" t="s">
        <v>13</v>
      </c>
      <c r="T7" t="s">
        <v>13</v>
      </c>
      <c r="U7" s="1">
        <f>Table1[[#This Row],[End Datetime]]-Table1[[#This Row],[Start Datetime]]</f>
        <v>1.0416666666642413</v>
      </c>
    </row>
    <row r="8" spans="1:21" x14ac:dyDescent="0.2">
      <c r="A8" t="s">
        <v>44</v>
      </c>
      <c r="B8" s="15" t="s">
        <v>212</v>
      </c>
      <c r="C8" s="15">
        <v>5</v>
      </c>
      <c r="D8" s="18">
        <v>44333.586805555555</v>
      </c>
      <c r="E8" s="18">
        <v>44334.618055555555</v>
      </c>
      <c r="F8" s="1">
        <v>0.58680555555555558</v>
      </c>
      <c r="G8" s="1">
        <v>0.61805555555555558</v>
      </c>
      <c r="H8" t="s">
        <v>11</v>
      </c>
      <c r="I8">
        <v>54.073245</v>
      </c>
      <c r="J8">
        <v>-124.710509</v>
      </c>
      <c r="K8" t="s">
        <v>12</v>
      </c>
      <c r="L8" t="s">
        <v>33</v>
      </c>
      <c r="M8" t="s">
        <v>20</v>
      </c>
      <c r="N8">
        <v>1</v>
      </c>
      <c r="O8">
        <v>1</v>
      </c>
      <c r="P8" t="s">
        <v>15</v>
      </c>
      <c r="Q8">
        <v>100</v>
      </c>
      <c r="R8">
        <v>2</v>
      </c>
      <c r="S8" t="s">
        <v>13</v>
      </c>
      <c r="T8" t="s">
        <v>13</v>
      </c>
      <c r="U8" s="1">
        <f>Table1[[#This Row],[End Datetime]]-Table1[[#This Row],[Start Datetime]]</f>
        <v>1.03125</v>
      </c>
    </row>
    <row r="9" spans="1:21" x14ac:dyDescent="0.2">
      <c r="A9" s="2" t="s">
        <v>45</v>
      </c>
      <c r="B9" s="2" t="s">
        <v>212</v>
      </c>
      <c r="C9" s="2">
        <v>5</v>
      </c>
      <c r="D9" s="8">
        <v>44333.59375</v>
      </c>
      <c r="E9" s="8">
        <v>44334.621527777781</v>
      </c>
      <c r="F9" s="1">
        <v>0.59375</v>
      </c>
      <c r="G9" s="1">
        <v>0.62152777777777779</v>
      </c>
      <c r="H9" t="s">
        <v>11</v>
      </c>
      <c r="I9">
        <v>54.074210000000001</v>
      </c>
      <c r="J9">
        <v>-124.71660199999999</v>
      </c>
      <c r="K9" t="s">
        <v>12</v>
      </c>
      <c r="L9" t="s">
        <v>33</v>
      </c>
      <c r="M9" t="s">
        <v>13</v>
      </c>
      <c r="N9">
        <v>0</v>
      </c>
      <c r="O9">
        <v>0</v>
      </c>
      <c r="P9" t="s">
        <v>15</v>
      </c>
      <c r="Q9">
        <v>200</v>
      </c>
      <c r="R9">
        <v>10</v>
      </c>
      <c r="S9" t="s">
        <v>13</v>
      </c>
      <c r="T9" t="s">
        <v>13</v>
      </c>
      <c r="U9" s="1">
        <f>Table1[[#This Row],[End Datetime]]-Table1[[#This Row],[Start Datetime]]</f>
        <v>1.0277777777810115</v>
      </c>
    </row>
    <row r="10" spans="1:21" x14ac:dyDescent="0.2">
      <c r="A10" s="2" t="s">
        <v>39</v>
      </c>
      <c r="B10" s="15" t="s">
        <v>212</v>
      </c>
      <c r="C10" s="15">
        <v>5</v>
      </c>
      <c r="D10" s="18">
        <v>44333.5625</v>
      </c>
      <c r="E10" s="18">
        <v>44334.611111111109</v>
      </c>
      <c r="F10" s="1">
        <v>0.5625</v>
      </c>
      <c r="G10" s="1">
        <v>0.61111111111111105</v>
      </c>
      <c r="H10" t="s">
        <v>11</v>
      </c>
      <c r="I10" t="s">
        <v>28</v>
      </c>
      <c r="J10" t="s">
        <v>28</v>
      </c>
      <c r="K10" t="s">
        <v>12</v>
      </c>
      <c r="L10" t="s">
        <v>33</v>
      </c>
      <c r="M10" t="s">
        <v>20</v>
      </c>
      <c r="N10">
        <v>1</v>
      </c>
      <c r="O10">
        <v>1</v>
      </c>
      <c r="P10" t="s">
        <v>15</v>
      </c>
      <c r="Q10">
        <v>150</v>
      </c>
      <c r="R10">
        <v>2</v>
      </c>
      <c r="S10" t="s">
        <v>13</v>
      </c>
      <c r="T10" t="s">
        <v>13</v>
      </c>
      <c r="U10" s="1">
        <f>Table1[[#This Row],[End Datetime]]-Table1[[#This Row],[Start Datetime]]</f>
        <v>1.0486111111094942</v>
      </c>
    </row>
    <row r="11" spans="1:21" x14ac:dyDescent="0.2">
      <c r="A11" s="2" t="s">
        <v>72</v>
      </c>
      <c r="B11" s="2" t="s">
        <v>214</v>
      </c>
      <c r="C11" s="2">
        <v>5</v>
      </c>
      <c r="D11" s="8">
        <v>44335.746527777781</v>
      </c>
      <c r="E11" s="8">
        <v>44336</v>
      </c>
      <c r="F11" s="1">
        <v>0.74652777777777779</v>
      </c>
      <c r="G11" s="1">
        <v>0.5</v>
      </c>
      <c r="H11" t="s">
        <v>11</v>
      </c>
      <c r="I11">
        <v>54.076466000000003</v>
      </c>
      <c r="J11">
        <v>-124.83766799999999</v>
      </c>
      <c r="K11" t="s">
        <v>12</v>
      </c>
      <c r="L11" t="s">
        <v>33</v>
      </c>
      <c r="M11" t="s">
        <v>13</v>
      </c>
      <c r="N11">
        <v>0</v>
      </c>
      <c r="O11">
        <v>0</v>
      </c>
      <c r="P11" t="s">
        <v>64</v>
      </c>
      <c r="Q11" t="s">
        <v>13</v>
      </c>
      <c r="R11">
        <v>6.5</v>
      </c>
      <c r="S11" t="s">
        <v>13</v>
      </c>
      <c r="T11" t="s">
        <v>13</v>
      </c>
      <c r="U11" s="1">
        <f>Table1[[#This Row],[End Datetime]]-Table1[[#This Row],[Start Datetime]]</f>
        <v>0.25347222221898846</v>
      </c>
    </row>
    <row r="12" spans="1:21" x14ac:dyDescent="0.2">
      <c r="A12" s="2" t="s">
        <v>40</v>
      </c>
      <c r="B12" s="15" t="s">
        <v>212</v>
      </c>
      <c r="C12" s="15">
        <v>5</v>
      </c>
      <c r="D12" s="18">
        <v>44333.569444444445</v>
      </c>
      <c r="E12" s="18">
        <v>44334.614583333336</v>
      </c>
      <c r="F12" s="1">
        <v>0.56944444444444442</v>
      </c>
      <c r="G12" s="1">
        <v>0.61458333333333337</v>
      </c>
      <c r="H12" t="s">
        <v>11</v>
      </c>
      <c r="I12">
        <v>54.074992000000002</v>
      </c>
      <c r="J12">
        <v>-124.70585800000001</v>
      </c>
      <c r="K12" t="s">
        <v>12</v>
      </c>
      <c r="L12" t="s">
        <v>33</v>
      </c>
      <c r="M12" t="s">
        <v>13</v>
      </c>
      <c r="N12">
        <v>0</v>
      </c>
      <c r="O12">
        <v>0</v>
      </c>
      <c r="P12" t="s">
        <v>15</v>
      </c>
      <c r="Q12">
        <v>175</v>
      </c>
      <c r="R12">
        <v>6.5</v>
      </c>
      <c r="S12" t="s">
        <v>13</v>
      </c>
      <c r="T12" t="s">
        <v>13</v>
      </c>
      <c r="U12" s="1">
        <f>Table1[[#This Row],[End Datetime]]-Table1[[#This Row],[Start Datetime]]</f>
        <v>1.0451388888905058</v>
      </c>
    </row>
    <row r="13" spans="1:21" x14ac:dyDescent="0.2">
      <c r="A13" s="2" t="s">
        <v>23</v>
      </c>
      <c r="B13" s="15" t="s">
        <v>215</v>
      </c>
      <c r="C13" s="15">
        <v>5</v>
      </c>
      <c r="D13" s="18">
        <v>44329.666666666664</v>
      </c>
      <c r="E13" s="18">
        <v>44330.680555555555</v>
      </c>
      <c r="F13" s="1">
        <v>0.66666666666666663</v>
      </c>
      <c r="G13" s="1">
        <v>0.68055555555555547</v>
      </c>
      <c r="H13" t="s">
        <v>11</v>
      </c>
      <c r="I13">
        <v>54.074215000000002</v>
      </c>
      <c r="J13">
        <v>-124.620322</v>
      </c>
      <c r="K13" t="s">
        <v>12</v>
      </c>
      <c r="L13" t="s">
        <v>33</v>
      </c>
      <c r="M13" t="s">
        <v>13</v>
      </c>
      <c r="N13">
        <v>0</v>
      </c>
      <c r="O13">
        <v>0</v>
      </c>
      <c r="P13" t="s">
        <v>15</v>
      </c>
      <c r="Q13">
        <v>550</v>
      </c>
      <c r="R13">
        <v>1.2</v>
      </c>
      <c r="S13" t="s">
        <v>13</v>
      </c>
      <c r="T13" t="s">
        <v>24</v>
      </c>
      <c r="U13" s="1">
        <f>Table1[[#This Row],[End Datetime]]-Table1[[#This Row],[Start Datetime]]</f>
        <v>1.0138888888905058</v>
      </c>
    </row>
    <row r="14" spans="1:21" x14ac:dyDescent="0.2">
      <c r="A14" s="2" t="s">
        <v>66</v>
      </c>
      <c r="B14" s="2" t="s">
        <v>214</v>
      </c>
      <c r="C14" s="2">
        <v>5</v>
      </c>
      <c r="D14" s="8">
        <v>44335.701388888891</v>
      </c>
      <c r="E14" s="8">
        <v>44336.565972222219</v>
      </c>
      <c r="F14" s="1">
        <v>0.70138888888888884</v>
      </c>
      <c r="G14" s="1">
        <v>0.56597222222222221</v>
      </c>
      <c r="H14" t="s">
        <v>11</v>
      </c>
      <c r="I14">
        <v>54.077151000000001</v>
      </c>
      <c r="J14">
        <v>-124.829887</v>
      </c>
      <c r="K14" t="s">
        <v>12</v>
      </c>
      <c r="L14" t="s">
        <v>33</v>
      </c>
      <c r="M14" t="s">
        <v>15</v>
      </c>
      <c r="N14">
        <v>1</v>
      </c>
      <c r="O14">
        <v>0</v>
      </c>
      <c r="P14" t="s">
        <v>64</v>
      </c>
      <c r="Q14" t="s">
        <v>13</v>
      </c>
      <c r="R14">
        <v>2.2000000000000002</v>
      </c>
      <c r="S14" t="s">
        <v>13</v>
      </c>
      <c r="T14" t="s">
        <v>67</v>
      </c>
      <c r="U14" s="1">
        <f>Table1[[#This Row],[End Datetime]]-Table1[[#This Row],[Start Datetime]]</f>
        <v>0.86458333332848269</v>
      </c>
    </row>
    <row r="15" spans="1:21" x14ac:dyDescent="0.2">
      <c r="A15" s="2" t="s">
        <v>48</v>
      </c>
      <c r="B15" s="2" t="s">
        <v>212</v>
      </c>
      <c r="C15" s="2">
        <v>5</v>
      </c>
      <c r="D15" s="8">
        <v>44333.604166666664</v>
      </c>
      <c r="E15" s="8">
        <v>44334.600694444445</v>
      </c>
      <c r="F15" s="1">
        <v>0.60416666666666663</v>
      </c>
      <c r="G15" s="1">
        <v>0.60069444444444442</v>
      </c>
      <c r="H15" t="s">
        <v>11</v>
      </c>
      <c r="I15">
        <v>54.075586999999999</v>
      </c>
      <c r="J15">
        <v>-124.67826100000001</v>
      </c>
      <c r="K15" t="s">
        <v>12</v>
      </c>
      <c r="L15" t="s">
        <v>33</v>
      </c>
      <c r="M15" t="s">
        <v>13</v>
      </c>
      <c r="N15">
        <v>0</v>
      </c>
      <c r="O15">
        <v>0</v>
      </c>
      <c r="P15" t="s">
        <v>47</v>
      </c>
      <c r="Q15">
        <v>125</v>
      </c>
      <c r="R15">
        <v>1.5</v>
      </c>
      <c r="S15" t="s">
        <v>13</v>
      </c>
      <c r="T15" t="s">
        <v>13</v>
      </c>
      <c r="U15" s="1">
        <f>Table1[[#This Row],[End Datetime]]-Table1[[#This Row],[Start Datetime]]</f>
        <v>0.99652777778101154</v>
      </c>
    </row>
    <row r="16" spans="1:21" x14ac:dyDescent="0.2">
      <c r="A16" s="2" t="s">
        <v>63</v>
      </c>
      <c r="B16" s="2" t="s">
        <v>214</v>
      </c>
      <c r="C16" s="2">
        <v>5</v>
      </c>
      <c r="D16" s="8">
        <v>44335.6875</v>
      </c>
      <c r="E16" s="8">
        <v>44336.569444444445</v>
      </c>
      <c r="F16" s="1">
        <v>0.6875</v>
      </c>
      <c r="G16" s="1">
        <v>0.56944444444444442</v>
      </c>
      <c r="H16" t="s">
        <v>11</v>
      </c>
      <c r="I16">
        <v>54.078076000000003</v>
      </c>
      <c r="J16">
        <v>-124.832939</v>
      </c>
      <c r="K16" t="s">
        <v>12</v>
      </c>
      <c r="L16" t="s">
        <v>33</v>
      </c>
      <c r="M16" t="s">
        <v>13</v>
      </c>
      <c r="N16">
        <v>0</v>
      </c>
      <c r="O16">
        <v>0</v>
      </c>
      <c r="P16" t="s">
        <v>64</v>
      </c>
      <c r="Q16" t="s">
        <v>13</v>
      </c>
      <c r="R16">
        <v>5.5</v>
      </c>
      <c r="S16" t="s">
        <v>13</v>
      </c>
      <c r="T16" t="s">
        <v>13</v>
      </c>
      <c r="U16" s="1">
        <f>Table1[[#This Row],[End Datetime]]-Table1[[#This Row],[Start Datetime]]</f>
        <v>0.88194444444525288</v>
      </c>
    </row>
    <row r="17" spans="1:21" x14ac:dyDescent="0.2">
      <c r="A17" s="2" t="s">
        <v>49</v>
      </c>
      <c r="B17" s="2" t="s">
        <v>212</v>
      </c>
      <c r="C17" s="2">
        <v>5</v>
      </c>
      <c r="D17" s="8">
        <v>44333.611111111109</v>
      </c>
      <c r="E17" s="8">
        <v>44334.605555555558</v>
      </c>
      <c r="F17" s="1">
        <v>0.61111111111111105</v>
      </c>
      <c r="G17" s="1">
        <v>0.60555555555555551</v>
      </c>
      <c r="H17" t="s">
        <v>11</v>
      </c>
      <c r="I17">
        <v>54.078761</v>
      </c>
      <c r="J17">
        <v>-124.545367</v>
      </c>
      <c r="K17" t="s">
        <v>12</v>
      </c>
      <c r="L17" t="s">
        <v>33</v>
      </c>
      <c r="M17" t="s">
        <v>13</v>
      </c>
      <c r="N17">
        <v>0</v>
      </c>
      <c r="O17">
        <v>0</v>
      </c>
      <c r="P17" t="s">
        <v>47</v>
      </c>
      <c r="Q17">
        <v>100</v>
      </c>
      <c r="R17">
        <v>5</v>
      </c>
      <c r="S17" t="s">
        <v>13</v>
      </c>
      <c r="T17" t="s">
        <v>13</v>
      </c>
      <c r="U17" s="1">
        <f>Table1[[#This Row],[End Datetime]]-Table1[[#This Row],[Start Datetime]]</f>
        <v>0.99444444444816327</v>
      </c>
    </row>
    <row r="18" spans="1:21" x14ac:dyDescent="0.2">
      <c r="A18" s="2" t="s">
        <v>25</v>
      </c>
      <c r="B18" s="15">
        <v>1</v>
      </c>
      <c r="C18" s="15">
        <v>5</v>
      </c>
      <c r="D18" s="18">
        <v>44329.673611111109</v>
      </c>
      <c r="E18" s="18">
        <v>44330.670138888891</v>
      </c>
      <c r="F18" s="1">
        <v>0.67361111111111116</v>
      </c>
      <c r="G18" s="1">
        <v>0.67013888888888884</v>
      </c>
      <c r="H18" t="s">
        <v>11</v>
      </c>
      <c r="I18">
        <v>54.076728000000003</v>
      </c>
      <c r="J18">
        <v>-124.619992</v>
      </c>
      <c r="K18" t="s">
        <v>12</v>
      </c>
      <c r="L18" t="s">
        <v>33</v>
      </c>
      <c r="M18" t="s">
        <v>13</v>
      </c>
      <c r="N18">
        <v>0</v>
      </c>
      <c r="O18">
        <v>0</v>
      </c>
      <c r="P18" t="s">
        <v>15</v>
      </c>
      <c r="Q18">
        <v>300</v>
      </c>
      <c r="R18">
        <v>2</v>
      </c>
      <c r="S18" t="s">
        <v>13</v>
      </c>
      <c r="T18" t="s">
        <v>26</v>
      </c>
      <c r="U18" s="1">
        <f>Table1[[#This Row],[End Datetime]]-Table1[[#This Row],[Start Datetime]]</f>
        <v>0.99652777778101154</v>
      </c>
    </row>
    <row r="19" spans="1:21" x14ac:dyDescent="0.2">
      <c r="A19" s="2" t="s">
        <v>46</v>
      </c>
      <c r="B19" s="2" t="s">
        <v>212</v>
      </c>
      <c r="C19" s="2">
        <v>5</v>
      </c>
      <c r="D19" s="8">
        <v>44333.600694444445</v>
      </c>
      <c r="E19" s="8">
        <v>44334.604166666664</v>
      </c>
      <c r="F19" s="1">
        <v>0.60069444444444442</v>
      </c>
      <c r="G19" s="1">
        <v>0.60416666666666663</v>
      </c>
      <c r="H19" t="s">
        <v>11</v>
      </c>
      <c r="I19">
        <v>54.078549000000002</v>
      </c>
      <c r="J19">
        <v>-124.69334600000001</v>
      </c>
      <c r="K19" t="s">
        <v>12</v>
      </c>
      <c r="L19" t="s">
        <v>33</v>
      </c>
      <c r="M19" t="s">
        <v>13</v>
      </c>
      <c r="N19">
        <v>0</v>
      </c>
      <c r="O19">
        <v>0</v>
      </c>
      <c r="P19" t="s">
        <v>47</v>
      </c>
      <c r="Q19">
        <v>100</v>
      </c>
      <c r="R19">
        <v>9</v>
      </c>
      <c r="S19" t="s">
        <v>13</v>
      </c>
      <c r="T19" t="s">
        <v>13</v>
      </c>
      <c r="U19" s="1">
        <f>Table1[[#This Row],[End Datetime]]-Table1[[#This Row],[Start Datetime]]</f>
        <v>1.0034722222189885</v>
      </c>
    </row>
    <row r="20" spans="1:21" x14ac:dyDescent="0.2">
      <c r="A20" s="2" t="s">
        <v>73</v>
      </c>
      <c r="B20" s="15" t="s">
        <v>214</v>
      </c>
      <c r="C20" s="15">
        <v>5</v>
      </c>
      <c r="D20" s="18">
        <v>44335.753472222219</v>
      </c>
      <c r="E20" s="18">
        <v>44336.572916666664</v>
      </c>
      <c r="F20" s="1">
        <v>0.75347222222222221</v>
      </c>
      <c r="G20" s="1">
        <v>0.57291666666666663</v>
      </c>
      <c r="H20" t="s">
        <v>11</v>
      </c>
      <c r="I20">
        <v>54.08079</v>
      </c>
      <c r="J20">
        <v>-124.83591699999999</v>
      </c>
      <c r="K20" t="s">
        <v>12</v>
      </c>
      <c r="L20" t="s">
        <v>33</v>
      </c>
      <c r="M20" t="s">
        <v>20</v>
      </c>
      <c r="N20">
        <v>1</v>
      </c>
      <c r="O20">
        <v>1</v>
      </c>
      <c r="P20" t="s">
        <v>64</v>
      </c>
      <c r="Q20" t="s">
        <v>13</v>
      </c>
      <c r="R20">
        <v>4.9000000000000004</v>
      </c>
      <c r="S20" t="s">
        <v>13</v>
      </c>
      <c r="T20" t="s">
        <v>67</v>
      </c>
      <c r="U20" s="1">
        <f>Table1[[#This Row],[End Datetime]]-Table1[[#This Row],[Start Datetime]]</f>
        <v>0.81944444444525288</v>
      </c>
    </row>
    <row r="21" spans="1:21" x14ac:dyDescent="0.2">
      <c r="A21" s="2" t="s">
        <v>27</v>
      </c>
      <c r="B21" s="15">
        <v>1</v>
      </c>
      <c r="C21" s="15">
        <v>5</v>
      </c>
      <c r="D21" s="18">
        <v>44329.6875</v>
      </c>
      <c r="E21" s="18">
        <v>44330.677083333336</v>
      </c>
      <c r="F21" s="1">
        <v>0.6875</v>
      </c>
      <c r="G21" s="1">
        <v>0.67708333333333337</v>
      </c>
      <c r="H21" t="s">
        <v>11</v>
      </c>
      <c r="I21">
        <v>54.079431999999997</v>
      </c>
      <c r="J21">
        <v>-124.621443</v>
      </c>
      <c r="K21" t="s">
        <v>12</v>
      </c>
      <c r="L21" t="s">
        <v>33</v>
      </c>
      <c r="M21" t="s">
        <v>13</v>
      </c>
      <c r="N21">
        <v>0</v>
      </c>
      <c r="O21">
        <v>0</v>
      </c>
      <c r="P21" t="s">
        <v>15</v>
      </c>
      <c r="Q21">
        <v>400</v>
      </c>
      <c r="R21" t="s">
        <v>28</v>
      </c>
      <c r="S21" t="s">
        <v>13</v>
      </c>
      <c r="T21" t="s">
        <v>13</v>
      </c>
      <c r="U21" s="1">
        <f>Table1[[#This Row],[End Datetime]]-Table1[[#This Row],[Start Datetime]]</f>
        <v>0.98958333333575865</v>
      </c>
    </row>
    <row r="22" spans="1:21" x14ac:dyDescent="0.2">
      <c r="A22" s="2" t="s">
        <v>29</v>
      </c>
      <c r="B22" s="15">
        <v>1</v>
      </c>
      <c r="C22" s="15">
        <v>5</v>
      </c>
      <c r="D22" s="18">
        <v>44329.708333333336</v>
      </c>
      <c r="E22" s="18">
        <v>44330.666666666664</v>
      </c>
      <c r="F22" s="1">
        <v>0.70833333333333337</v>
      </c>
      <c r="G22" s="1">
        <v>0.66666666666666663</v>
      </c>
      <c r="H22" t="s">
        <v>11</v>
      </c>
      <c r="I22">
        <v>54.079467000000001</v>
      </c>
      <c r="J22">
        <v>-124.61679700000001</v>
      </c>
      <c r="K22" t="s">
        <v>12</v>
      </c>
      <c r="L22" t="s">
        <v>33</v>
      </c>
      <c r="M22" t="s">
        <v>13</v>
      </c>
      <c r="N22">
        <v>0</v>
      </c>
      <c r="O22">
        <v>0</v>
      </c>
      <c r="P22" t="s">
        <v>15</v>
      </c>
      <c r="Q22">
        <v>150</v>
      </c>
      <c r="R22">
        <v>1.2</v>
      </c>
      <c r="S22" t="s">
        <v>13</v>
      </c>
      <c r="T22" t="s">
        <v>13</v>
      </c>
      <c r="U22" s="1">
        <f>Table1[[#This Row],[End Datetime]]-Table1[[#This Row],[Start Datetime]]</f>
        <v>0.95833333332848269</v>
      </c>
    </row>
    <row r="23" spans="1:21" x14ac:dyDescent="0.2">
      <c r="A23" t="s">
        <v>10</v>
      </c>
      <c r="B23" s="15">
        <v>1</v>
      </c>
      <c r="C23" s="15">
        <v>5</v>
      </c>
      <c r="D23" s="18">
        <v>44329.618055555555</v>
      </c>
      <c r="E23" s="18">
        <v>44330.604166666664</v>
      </c>
      <c r="F23" s="1">
        <v>0.61805555555555558</v>
      </c>
      <c r="G23" s="1">
        <v>0.60416666666666663</v>
      </c>
      <c r="H23" t="s">
        <v>11</v>
      </c>
      <c r="I23">
        <v>54.058984000000002</v>
      </c>
      <c r="J23">
        <v>-124.63591</v>
      </c>
      <c r="K23" t="s">
        <v>12</v>
      </c>
      <c r="L23" t="s">
        <v>33</v>
      </c>
      <c r="M23" t="s">
        <v>13</v>
      </c>
      <c r="N23">
        <v>0</v>
      </c>
      <c r="O23">
        <v>0</v>
      </c>
      <c r="P23" t="s">
        <v>15</v>
      </c>
      <c r="Q23">
        <v>500</v>
      </c>
      <c r="R23">
        <v>5.8</v>
      </c>
      <c r="S23" t="s">
        <v>13</v>
      </c>
      <c r="T23" t="s">
        <v>13</v>
      </c>
      <c r="U23" s="1">
        <f>Table1[[#This Row],[End Datetime]]-Table1[[#This Row],[Start Datetime]]</f>
        <v>0.98611111110949423</v>
      </c>
    </row>
    <row r="24" spans="1:21" x14ac:dyDescent="0.2">
      <c r="A24" s="2" t="s">
        <v>55</v>
      </c>
      <c r="B24" s="2" t="s">
        <v>212</v>
      </c>
      <c r="C24" s="2">
        <v>5</v>
      </c>
      <c r="D24" s="8">
        <v>44333.680555555555</v>
      </c>
      <c r="E24" s="8">
        <v>44335.53125</v>
      </c>
      <c r="F24" s="1">
        <v>0.68055555555555547</v>
      </c>
      <c r="G24" s="1">
        <v>0.53125</v>
      </c>
      <c r="H24" t="s">
        <v>11</v>
      </c>
      <c r="I24">
        <v>54.088731000000003</v>
      </c>
      <c r="J24">
        <v>-124.73454</v>
      </c>
      <c r="K24" t="s">
        <v>12</v>
      </c>
      <c r="L24" t="s">
        <v>33</v>
      </c>
      <c r="M24" t="s">
        <v>13</v>
      </c>
      <c r="N24">
        <v>0</v>
      </c>
      <c r="O24">
        <v>0</v>
      </c>
      <c r="P24" t="s">
        <v>51</v>
      </c>
      <c r="Q24">
        <v>200</v>
      </c>
      <c r="R24">
        <v>3.5</v>
      </c>
      <c r="S24" t="s">
        <v>13</v>
      </c>
      <c r="T24" t="s">
        <v>54</v>
      </c>
      <c r="U24" s="1">
        <f>Table1[[#This Row],[End Datetime]]-Table1[[#This Row],[Start Datetime]]</f>
        <v>1.8506944444452529</v>
      </c>
    </row>
    <row r="25" spans="1:21" x14ac:dyDescent="0.2">
      <c r="A25" s="2" t="s">
        <v>30</v>
      </c>
      <c r="B25" s="15">
        <v>1</v>
      </c>
      <c r="C25" s="15">
        <v>5</v>
      </c>
      <c r="D25" s="18">
        <v>44329.71875</v>
      </c>
      <c r="E25" s="18">
        <v>44330.659722222219</v>
      </c>
      <c r="F25" s="1">
        <v>0.71875</v>
      </c>
      <c r="G25" s="1">
        <v>0.65972222222222221</v>
      </c>
      <c r="H25" t="s">
        <v>11</v>
      </c>
      <c r="I25">
        <v>54.089343</v>
      </c>
      <c r="J25">
        <v>-124.625713</v>
      </c>
      <c r="K25" t="s">
        <v>12</v>
      </c>
      <c r="L25" t="s">
        <v>33</v>
      </c>
      <c r="M25" t="s">
        <v>13</v>
      </c>
      <c r="N25">
        <v>0</v>
      </c>
      <c r="O25">
        <v>0</v>
      </c>
      <c r="P25" t="s">
        <v>15</v>
      </c>
      <c r="Q25">
        <v>250</v>
      </c>
      <c r="R25">
        <v>2.5</v>
      </c>
      <c r="S25" t="s">
        <v>13</v>
      </c>
      <c r="T25" t="s">
        <v>13</v>
      </c>
      <c r="U25" s="1">
        <f>Table1[[#This Row],[End Datetime]]-Table1[[#This Row],[Start Datetime]]</f>
        <v>0.94097222221898846</v>
      </c>
    </row>
    <row r="26" spans="1:21" x14ac:dyDescent="0.2">
      <c r="A26" s="2" t="s">
        <v>81</v>
      </c>
      <c r="B26" s="15" t="s">
        <v>213</v>
      </c>
      <c r="C26" s="15">
        <v>5</v>
      </c>
      <c r="D26" s="18">
        <v>44334.753472222219</v>
      </c>
      <c r="E26" s="18">
        <v>44336.489583333336</v>
      </c>
      <c r="F26" s="1">
        <v>0.75347222222222221</v>
      </c>
      <c r="G26" s="1">
        <v>0.48958333333333331</v>
      </c>
      <c r="H26" t="s">
        <v>11</v>
      </c>
      <c r="I26">
        <v>54.092230999999998</v>
      </c>
      <c r="J26">
        <v>-124.814142</v>
      </c>
      <c r="K26" t="s">
        <v>12</v>
      </c>
      <c r="L26" t="s">
        <v>33</v>
      </c>
      <c r="M26" t="s">
        <v>20</v>
      </c>
      <c r="N26">
        <v>1</v>
      </c>
      <c r="O26">
        <v>1</v>
      </c>
      <c r="P26" t="s">
        <v>51</v>
      </c>
      <c r="Q26">
        <v>150</v>
      </c>
      <c r="R26">
        <v>7</v>
      </c>
      <c r="S26" t="s">
        <v>13</v>
      </c>
      <c r="T26" t="s">
        <v>13</v>
      </c>
      <c r="U26" s="1">
        <f>Table1[[#This Row],[End Datetime]]-Table1[[#This Row],[Start Datetime]]</f>
        <v>1.7361111111167702</v>
      </c>
    </row>
    <row r="27" spans="1:21" x14ac:dyDescent="0.2">
      <c r="A27" s="2" t="s">
        <v>82</v>
      </c>
      <c r="B27" s="2" t="s">
        <v>213</v>
      </c>
      <c r="C27" s="2">
        <v>5</v>
      </c>
      <c r="D27" s="8">
        <v>44334.756944444445</v>
      </c>
      <c r="E27" s="8">
        <v>44336.475694444445</v>
      </c>
      <c r="F27" s="1">
        <v>0.75694444444444453</v>
      </c>
      <c r="G27" s="1">
        <v>0.47569444444444442</v>
      </c>
      <c r="H27" t="s">
        <v>11</v>
      </c>
      <c r="I27">
        <v>54.092047999999998</v>
      </c>
      <c r="J27">
        <v>-124.795753</v>
      </c>
      <c r="K27" t="s">
        <v>12</v>
      </c>
      <c r="L27" t="s">
        <v>33</v>
      </c>
      <c r="M27" t="s">
        <v>13</v>
      </c>
      <c r="N27">
        <v>0</v>
      </c>
      <c r="O27">
        <v>0</v>
      </c>
      <c r="P27" t="s">
        <v>51</v>
      </c>
      <c r="Q27">
        <v>150</v>
      </c>
      <c r="R27">
        <v>2</v>
      </c>
      <c r="S27" t="s">
        <v>13</v>
      </c>
      <c r="T27" t="s">
        <v>13</v>
      </c>
      <c r="U27" s="1">
        <f>Table1[[#This Row],[End Datetime]]-Table1[[#This Row],[Start Datetime]]</f>
        <v>1.71875</v>
      </c>
    </row>
    <row r="28" spans="1:21" x14ac:dyDescent="0.2">
      <c r="A28" s="2" t="s">
        <v>50</v>
      </c>
      <c r="B28" s="15" t="s">
        <v>212</v>
      </c>
      <c r="C28" s="15">
        <v>5</v>
      </c>
      <c r="D28" s="18">
        <v>44333.666666666664</v>
      </c>
      <c r="E28" s="18">
        <v>44335.541666666664</v>
      </c>
      <c r="F28" s="1">
        <v>0.66666666666666663</v>
      </c>
      <c r="G28" s="1">
        <v>0.54166666666666663</v>
      </c>
      <c r="H28" t="s">
        <v>11</v>
      </c>
      <c r="I28">
        <v>54.091220999999997</v>
      </c>
      <c r="J28">
        <v>-124.71760999999999</v>
      </c>
      <c r="K28" t="s">
        <v>12</v>
      </c>
      <c r="L28" t="s">
        <v>33</v>
      </c>
      <c r="M28" t="s">
        <v>20</v>
      </c>
      <c r="N28">
        <v>3</v>
      </c>
      <c r="O28">
        <v>3</v>
      </c>
      <c r="P28" t="s">
        <v>51</v>
      </c>
      <c r="Q28">
        <v>100</v>
      </c>
      <c r="R28">
        <v>9</v>
      </c>
      <c r="S28" t="s">
        <v>13</v>
      </c>
      <c r="T28" t="s">
        <v>52</v>
      </c>
      <c r="U28" s="1">
        <f>Table1[[#This Row],[End Datetime]]-Table1[[#This Row],[Start Datetime]]</f>
        <v>1.875</v>
      </c>
    </row>
    <row r="29" spans="1:21" x14ac:dyDescent="0.2">
      <c r="A29" s="2" t="s">
        <v>79</v>
      </c>
      <c r="B29" s="2" t="s">
        <v>213</v>
      </c>
      <c r="C29" s="2">
        <v>5</v>
      </c>
      <c r="D29" s="8">
        <v>44334.743055555555</v>
      </c>
      <c r="E29" s="8">
        <v>44336.517361111109</v>
      </c>
      <c r="F29" s="1">
        <v>0.74305555555555547</v>
      </c>
      <c r="G29" s="1">
        <v>0.51736111111111105</v>
      </c>
      <c r="H29" t="s">
        <v>11</v>
      </c>
      <c r="I29">
        <v>54.095196000000001</v>
      </c>
      <c r="J29">
        <v>-124.843175</v>
      </c>
      <c r="K29" t="s">
        <v>12</v>
      </c>
      <c r="L29" t="s">
        <v>33</v>
      </c>
      <c r="M29" t="s">
        <v>13</v>
      </c>
      <c r="N29">
        <v>0</v>
      </c>
      <c r="O29">
        <v>0</v>
      </c>
      <c r="P29" t="s">
        <v>51</v>
      </c>
      <c r="Q29">
        <v>150</v>
      </c>
      <c r="R29">
        <v>1</v>
      </c>
      <c r="S29" t="s">
        <v>13</v>
      </c>
      <c r="T29" t="s">
        <v>13</v>
      </c>
      <c r="U29" s="1">
        <f>Table1[[#This Row],[End Datetime]]-Table1[[#This Row],[Start Datetime]]</f>
        <v>1.7743055555547471</v>
      </c>
    </row>
    <row r="30" spans="1:21" x14ac:dyDescent="0.2">
      <c r="A30" s="2" t="s">
        <v>78</v>
      </c>
      <c r="B30" s="15" t="s">
        <v>213</v>
      </c>
      <c r="C30" s="15">
        <v>5</v>
      </c>
      <c r="D30" s="18">
        <v>44334.739583333336</v>
      </c>
      <c r="E30" s="18">
        <v>44336.510416666664</v>
      </c>
      <c r="F30" s="1">
        <v>0.73958333333333337</v>
      </c>
      <c r="G30" s="1">
        <v>0.51041666666666663</v>
      </c>
      <c r="H30" t="s">
        <v>11</v>
      </c>
      <c r="I30">
        <v>54.096049000000001</v>
      </c>
      <c r="J30">
        <v>-124.838549</v>
      </c>
      <c r="K30" t="s">
        <v>12</v>
      </c>
      <c r="L30" t="s">
        <v>33</v>
      </c>
      <c r="M30" t="s">
        <v>20</v>
      </c>
      <c r="N30">
        <v>3</v>
      </c>
      <c r="O30">
        <v>3</v>
      </c>
      <c r="P30" t="s">
        <v>51</v>
      </c>
      <c r="Q30">
        <v>150</v>
      </c>
      <c r="R30">
        <v>5</v>
      </c>
      <c r="S30" t="s">
        <v>13</v>
      </c>
      <c r="T30" t="s">
        <v>13</v>
      </c>
      <c r="U30" s="1">
        <f>Table1[[#This Row],[End Datetime]]-Table1[[#This Row],[Start Datetime]]</f>
        <v>1.7708333333284827</v>
      </c>
    </row>
    <row r="31" spans="1:21" x14ac:dyDescent="0.2">
      <c r="A31" s="2" t="s">
        <v>80</v>
      </c>
      <c r="B31" s="2" t="s">
        <v>213</v>
      </c>
      <c r="C31" s="2">
        <v>5</v>
      </c>
      <c r="D31" s="8">
        <v>44334.746527777781</v>
      </c>
      <c r="E31" s="8">
        <v>44336.513888888891</v>
      </c>
      <c r="F31" s="1">
        <v>0.74652777777777779</v>
      </c>
      <c r="G31" s="1">
        <v>0.51388888888888895</v>
      </c>
      <c r="H31" t="s">
        <v>11</v>
      </c>
      <c r="I31">
        <v>54.096972999999998</v>
      </c>
      <c r="J31">
        <v>-124.84160199999999</v>
      </c>
      <c r="K31" t="s">
        <v>12</v>
      </c>
      <c r="L31" t="s">
        <v>33</v>
      </c>
      <c r="M31" t="s">
        <v>13</v>
      </c>
      <c r="N31">
        <v>0</v>
      </c>
      <c r="O31">
        <v>0</v>
      </c>
      <c r="P31" t="s">
        <v>51</v>
      </c>
      <c r="Q31">
        <v>150</v>
      </c>
      <c r="R31">
        <v>3.5</v>
      </c>
      <c r="S31" t="s">
        <v>13</v>
      </c>
      <c r="T31" t="s">
        <v>13</v>
      </c>
      <c r="U31" s="1">
        <f>Table1[[#This Row],[End Datetime]]-Table1[[#This Row],[Start Datetime]]</f>
        <v>1.7673611111094942</v>
      </c>
    </row>
    <row r="32" spans="1:21" x14ac:dyDescent="0.2">
      <c r="A32" s="2" t="s">
        <v>77</v>
      </c>
      <c r="B32" s="15" t="s">
        <v>213</v>
      </c>
      <c r="C32" s="15">
        <v>5</v>
      </c>
      <c r="D32" s="18">
        <v>44334.736111111109</v>
      </c>
      <c r="E32" s="18">
        <v>44336.493055555555</v>
      </c>
      <c r="F32" s="1">
        <v>0.73611111111111116</v>
      </c>
      <c r="G32" s="1">
        <v>0.49305555555555558</v>
      </c>
      <c r="H32" t="s">
        <v>11</v>
      </c>
      <c r="I32">
        <v>54.096783000000002</v>
      </c>
      <c r="J32">
        <v>-124.82166599999999</v>
      </c>
      <c r="K32" t="s">
        <v>12</v>
      </c>
      <c r="L32" t="s">
        <v>33</v>
      </c>
      <c r="M32" t="s">
        <v>20</v>
      </c>
      <c r="N32">
        <v>1</v>
      </c>
      <c r="O32">
        <v>1</v>
      </c>
      <c r="P32" t="s">
        <v>51</v>
      </c>
      <c r="Q32">
        <v>150</v>
      </c>
      <c r="R32">
        <v>6.5</v>
      </c>
      <c r="S32" t="s">
        <v>13</v>
      </c>
      <c r="T32" t="s">
        <v>13</v>
      </c>
      <c r="U32" s="1">
        <f>Table1[[#This Row],[End Datetime]]-Table1[[#This Row],[Start Datetime]]</f>
        <v>1.7569444444452529</v>
      </c>
    </row>
    <row r="33" spans="1:21" x14ac:dyDescent="0.2">
      <c r="A33" s="2" t="s">
        <v>56</v>
      </c>
      <c r="B33" s="2" t="s">
        <v>212</v>
      </c>
      <c r="C33" s="2">
        <v>5</v>
      </c>
      <c r="D33" s="8">
        <v>44333.6875</v>
      </c>
      <c r="E33" s="8">
        <v>44335.493055555555</v>
      </c>
      <c r="F33" s="1">
        <v>0.6875</v>
      </c>
      <c r="G33" s="1">
        <v>0.49305555555555558</v>
      </c>
      <c r="H33" t="s">
        <v>11</v>
      </c>
      <c r="I33">
        <v>54.095768999999997</v>
      </c>
      <c r="J33">
        <v>-124.722064</v>
      </c>
      <c r="K33" t="s">
        <v>12</v>
      </c>
      <c r="L33" t="s">
        <v>33</v>
      </c>
      <c r="M33" t="s">
        <v>13</v>
      </c>
      <c r="N33">
        <v>0</v>
      </c>
      <c r="O33">
        <v>0</v>
      </c>
      <c r="P33" t="s">
        <v>51</v>
      </c>
      <c r="Q33">
        <v>150</v>
      </c>
      <c r="R33">
        <v>9</v>
      </c>
      <c r="S33" t="s">
        <v>13</v>
      </c>
      <c r="T33" t="s">
        <v>54</v>
      </c>
      <c r="U33" s="1">
        <f>Table1[[#This Row],[End Datetime]]-Table1[[#This Row],[Start Datetime]]</f>
        <v>1.8055555555547471</v>
      </c>
    </row>
    <row r="34" spans="1:21" x14ac:dyDescent="0.2">
      <c r="A34" s="2" t="s">
        <v>53</v>
      </c>
      <c r="B34" s="15" t="s">
        <v>212</v>
      </c>
      <c r="C34" s="15">
        <v>5</v>
      </c>
      <c r="D34" s="18">
        <v>44333.673611111109</v>
      </c>
      <c r="E34" s="18">
        <v>44335.488888888889</v>
      </c>
      <c r="F34" s="1">
        <v>0.67361111111111116</v>
      </c>
      <c r="G34" s="1">
        <v>0.48888888888888887</v>
      </c>
      <c r="H34" t="s">
        <v>11</v>
      </c>
      <c r="I34">
        <v>54.095753999999999</v>
      </c>
      <c r="J34">
        <v>-124.720534</v>
      </c>
      <c r="K34" t="s">
        <v>12</v>
      </c>
      <c r="L34" t="s">
        <v>33</v>
      </c>
      <c r="M34" t="s">
        <v>20</v>
      </c>
      <c r="N34">
        <v>3</v>
      </c>
      <c r="O34">
        <v>3</v>
      </c>
      <c r="P34" t="s">
        <v>15</v>
      </c>
      <c r="Q34">
        <v>175</v>
      </c>
      <c r="R34">
        <v>10</v>
      </c>
      <c r="S34" t="s">
        <v>13</v>
      </c>
      <c r="T34" t="s">
        <v>54</v>
      </c>
      <c r="U34" s="1">
        <f>Table1[[#This Row],[End Datetime]]-Table1[[#This Row],[Start Datetime]]</f>
        <v>1.8152777777795563</v>
      </c>
    </row>
    <row r="35" spans="1:21" x14ac:dyDescent="0.2">
      <c r="A35" s="2" t="s">
        <v>75</v>
      </c>
      <c r="B35" s="15" t="s">
        <v>213</v>
      </c>
      <c r="C35" s="15">
        <v>5</v>
      </c>
      <c r="D35" s="18">
        <v>44334.729166666664</v>
      </c>
      <c r="E35" s="18">
        <v>44336.504861111112</v>
      </c>
      <c r="F35" s="1">
        <v>0.72916666666666663</v>
      </c>
      <c r="G35" s="1">
        <v>0.50486111111111109</v>
      </c>
      <c r="H35" t="s">
        <v>11</v>
      </c>
      <c r="I35">
        <v>54.097825999999998</v>
      </c>
      <c r="J35">
        <v>-124.83697600000001</v>
      </c>
      <c r="K35" t="s">
        <v>12</v>
      </c>
      <c r="L35" t="s">
        <v>33</v>
      </c>
      <c r="M35" t="s">
        <v>20</v>
      </c>
      <c r="N35">
        <v>1</v>
      </c>
      <c r="O35">
        <v>1</v>
      </c>
      <c r="P35" t="s">
        <v>51</v>
      </c>
      <c r="Q35">
        <v>150</v>
      </c>
      <c r="R35">
        <v>5</v>
      </c>
      <c r="S35" t="s">
        <v>13</v>
      </c>
      <c r="T35" t="s">
        <v>13</v>
      </c>
      <c r="U35" s="1">
        <f>Table1[[#This Row],[End Datetime]]-Table1[[#This Row],[Start Datetime]]</f>
        <v>1.7756944444481633</v>
      </c>
    </row>
    <row r="36" spans="1:21" x14ac:dyDescent="0.2">
      <c r="A36" s="2" t="s">
        <v>74</v>
      </c>
      <c r="B36" s="2" t="s">
        <v>213</v>
      </c>
      <c r="C36" s="2">
        <v>5</v>
      </c>
      <c r="D36" s="8">
        <v>44334.722222222219</v>
      </c>
      <c r="E36" s="8">
        <v>44336.503472222219</v>
      </c>
      <c r="F36" s="1">
        <v>0.72222222222222221</v>
      </c>
      <c r="G36" s="1">
        <v>0.50347222222222221</v>
      </c>
      <c r="H36" t="s">
        <v>11</v>
      </c>
      <c r="I36">
        <v>54.098678999999997</v>
      </c>
      <c r="J36">
        <v>-124.832348</v>
      </c>
      <c r="K36" t="s">
        <v>12</v>
      </c>
      <c r="L36" t="s">
        <v>33</v>
      </c>
      <c r="M36" t="s">
        <v>13</v>
      </c>
      <c r="N36">
        <v>0</v>
      </c>
      <c r="O36">
        <v>0</v>
      </c>
      <c r="P36" t="s">
        <v>51</v>
      </c>
      <c r="Q36">
        <v>150</v>
      </c>
      <c r="R36">
        <v>5.5</v>
      </c>
      <c r="S36" t="s">
        <v>13</v>
      </c>
      <c r="T36" t="s">
        <v>13</v>
      </c>
      <c r="U36" s="1">
        <f>Table1[[#This Row],[End Datetime]]-Table1[[#This Row],[Start Datetime]]</f>
        <v>1.78125</v>
      </c>
    </row>
    <row r="37" spans="1:21" x14ac:dyDescent="0.2">
      <c r="A37" s="2" t="s">
        <v>76</v>
      </c>
      <c r="B37" s="15" t="s">
        <v>213</v>
      </c>
      <c r="C37" s="15">
        <v>5</v>
      </c>
      <c r="D37" s="18">
        <v>44334.732638888891</v>
      </c>
      <c r="E37" s="18">
        <v>44336.496527777781</v>
      </c>
      <c r="F37" s="1">
        <v>0.73263888888888884</v>
      </c>
      <c r="G37" s="1">
        <v>0.49652777777777773</v>
      </c>
      <c r="H37" t="s">
        <v>11</v>
      </c>
      <c r="I37">
        <v>54.100422000000002</v>
      </c>
      <c r="J37">
        <v>-124.827699</v>
      </c>
      <c r="K37" t="s">
        <v>12</v>
      </c>
      <c r="L37" t="s">
        <v>33</v>
      </c>
      <c r="M37" t="s">
        <v>20</v>
      </c>
      <c r="N37">
        <v>1</v>
      </c>
      <c r="O37">
        <v>1</v>
      </c>
      <c r="P37" t="s">
        <v>51</v>
      </c>
      <c r="Q37">
        <v>150</v>
      </c>
      <c r="R37">
        <v>5.5</v>
      </c>
      <c r="S37" t="s">
        <v>13</v>
      </c>
      <c r="T37" t="s">
        <v>13</v>
      </c>
      <c r="U37" s="1">
        <f>Table1[[#This Row],[End Datetime]]-Table1[[#This Row],[Start Datetime]]</f>
        <v>1.7638888888905058</v>
      </c>
    </row>
    <row r="38" spans="1:21" x14ac:dyDescent="0.2">
      <c r="A38" s="4" t="s">
        <v>61</v>
      </c>
      <c r="B38" s="4" t="s">
        <v>212</v>
      </c>
      <c r="C38" s="4">
        <v>5</v>
      </c>
      <c r="D38" s="10">
        <v>44333.722222222219</v>
      </c>
      <c r="E38" s="10" t="s">
        <v>13</v>
      </c>
      <c r="F38" s="6">
        <v>0.72222222222222221</v>
      </c>
      <c r="G38" s="5" t="s">
        <v>13</v>
      </c>
      <c r="H38" s="5" t="s">
        <v>11</v>
      </c>
      <c r="I38" s="5">
        <v>54.10369</v>
      </c>
      <c r="J38" s="5">
        <v>-124.70802999999999</v>
      </c>
      <c r="K38" s="5" t="s">
        <v>12</v>
      </c>
      <c r="L38" s="5" t="s">
        <v>33</v>
      </c>
      <c r="M38" s="5" t="s">
        <v>13</v>
      </c>
      <c r="N38" s="5" t="s">
        <v>13</v>
      </c>
      <c r="O38" s="5">
        <v>0</v>
      </c>
      <c r="P38" s="5" t="s">
        <v>15</v>
      </c>
      <c r="Q38" s="5">
        <v>100</v>
      </c>
      <c r="R38" s="5">
        <v>7.5</v>
      </c>
      <c r="S38" s="5" t="s">
        <v>13</v>
      </c>
      <c r="T38" s="5" t="s">
        <v>62</v>
      </c>
      <c r="U38" s="1" t="e">
        <f>Table1[[#This Row],[End Datetime]]-Table1[[#This Row],[Start Datetime]]</f>
        <v>#VALUE!</v>
      </c>
    </row>
    <row r="39" spans="1:21" x14ac:dyDescent="0.2">
      <c r="A39" s="2" t="s">
        <v>58</v>
      </c>
      <c r="B39" s="2" t="s">
        <v>212</v>
      </c>
      <c r="C39" s="2">
        <v>5</v>
      </c>
      <c r="D39" s="8">
        <v>44333.701388888891</v>
      </c>
      <c r="E39" s="8">
        <v>44335.434027777781</v>
      </c>
      <c r="F39" s="1">
        <v>0.70138888888888884</v>
      </c>
      <c r="G39" s="1">
        <v>0.43402777777777773</v>
      </c>
      <c r="H39" t="s">
        <v>11</v>
      </c>
      <c r="I39">
        <v>54.105147000000002</v>
      </c>
      <c r="J39">
        <v>-124.677314</v>
      </c>
      <c r="K39" t="s">
        <v>12</v>
      </c>
      <c r="L39" t="s">
        <v>33</v>
      </c>
      <c r="M39" t="s">
        <v>13</v>
      </c>
      <c r="N39">
        <v>0</v>
      </c>
      <c r="O39">
        <v>0</v>
      </c>
      <c r="P39" t="s">
        <v>15</v>
      </c>
      <c r="Q39">
        <v>240</v>
      </c>
      <c r="R39">
        <v>6</v>
      </c>
      <c r="S39" t="s">
        <v>13</v>
      </c>
      <c r="T39" t="s">
        <v>54</v>
      </c>
      <c r="U39" s="1">
        <f>Table1[[#This Row],[End Datetime]]-Table1[[#This Row],[Start Datetime]]</f>
        <v>1.7326388888905058</v>
      </c>
    </row>
    <row r="40" spans="1:21" x14ac:dyDescent="0.2">
      <c r="A40" s="2" t="s">
        <v>57</v>
      </c>
      <c r="B40" s="2" t="s">
        <v>212</v>
      </c>
      <c r="C40" s="2">
        <v>5</v>
      </c>
      <c r="D40" s="8">
        <v>44333.694444444445</v>
      </c>
      <c r="E40" s="8">
        <v>44335.444444444445</v>
      </c>
      <c r="F40" s="1">
        <v>0.69444444444444453</v>
      </c>
      <c r="G40" s="1">
        <v>0.44444444444444442</v>
      </c>
      <c r="H40" t="s">
        <v>11</v>
      </c>
      <c r="I40">
        <v>54.107889</v>
      </c>
      <c r="J40">
        <v>-124.68183000000001</v>
      </c>
      <c r="K40" t="s">
        <v>12</v>
      </c>
      <c r="L40" t="s">
        <v>33</v>
      </c>
      <c r="M40" t="s">
        <v>13</v>
      </c>
      <c r="N40">
        <v>0</v>
      </c>
      <c r="O40">
        <v>0</v>
      </c>
      <c r="P40" t="s">
        <v>15</v>
      </c>
      <c r="Q40">
        <v>100</v>
      </c>
      <c r="R40">
        <v>5</v>
      </c>
      <c r="S40" t="s">
        <v>13</v>
      </c>
      <c r="T40" t="s">
        <v>54</v>
      </c>
      <c r="U40" s="1">
        <f>Table1[[#This Row],[End Datetime]]-Table1[[#This Row],[Start Datetime]]</f>
        <v>1.75</v>
      </c>
    </row>
    <row r="41" spans="1:21" x14ac:dyDescent="0.2">
      <c r="A41" s="2" t="s">
        <v>59</v>
      </c>
      <c r="B41" s="15" t="s">
        <v>212</v>
      </c>
      <c r="C41" s="15">
        <v>5</v>
      </c>
      <c r="D41" s="18">
        <v>44333.708333333336</v>
      </c>
      <c r="E41" s="18">
        <v>44335.454861111109</v>
      </c>
      <c r="F41" s="1">
        <v>0.70833333333333337</v>
      </c>
      <c r="G41" s="1">
        <v>0.4548611111111111</v>
      </c>
      <c r="H41" t="s">
        <v>11</v>
      </c>
      <c r="I41">
        <v>54.109592999999997</v>
      </c>
      <c r="J41">
        <v>-124.69422900000001</v>
      </c>
      <c r="K41" t="s">
        <v>12</v>
      </c>
      <c r="L41" t="s">
        <v>33</v>
      </c>
      <c r="M41" t="s">
        <v>20</v>
      </c>
      <c r="N41">
        <v>2</v>
      </c>
      <c r="O41">
        <v>2</v>
      </c>
      <c r="P41" t="s">
        <v>15</v>
      </c>
      <c r="Q41">
        <v>150</v>
      </c>
      <c r="R41">
        <v>3</v>
      </c>
      <c r="S41" t="s">
        <v>13</v>
      </c>
      <c r="T41" t="s">
        <v>54</v>
      </c>
      <c r="U41" s="1">
        <f>Table1[[#This Row],[End Datetime]]-Table1[[#This Row],[Start Datetime]]</f>
        <v>1.7465277777737356</v>
      </c>
    </row>
    <row r="42" spans="1:21" x14ac:dyDescent="0.2">
      <c r="A42" s="2" t="s">
        <v>60</v>
      </c>
      <c r="B42" s="15" t="s">
        <v>212</v>
      </c>
      <c r="C42" s="15">
        <v>5</v>
      </c>
      <c r="D42" s="18">
        <v>44333.71875</v>
      </c>
      <c r="E42" s="18">
        <v>44335.451388888891</v>
      </c>
      <c r="F42" s="1">
        <v>0.71875</v>
      </c>
      <c r="G42" s="1">
        <v>0.4513888888888889</v>
      </c>
      <c r="H42" t="s">
        <v>11</v>
      </c>
      <c r="I42">
        <v>54.109774000000002</v>
      </c>
      <c r="J42">
        <v>-124.690963</v>
      </c>
      <c r="K42" t="s">
        <v>12</v>
      </c>
      <c r="L42" t="s">
        <v>33</v>
      </c>
      <c r="M42" t="s">
        <v>20</v>
      </c>
      <c r="N42">
        <v>2</v>
      </c>
      <c r="O42">
        <v>2</v>
      </c>
      <c r="P42" t="s">
        <v>15</v>
      </c>
      <c r="Q42">
        <v>250</v>
      </c>
      <c r="R42">
        <v>9.5</v>
      </c>
      <c r="S42" t="s">
        <v>13</v>
      </c>
      <c r="T42" t="s">
        <v>54</v>
      </c>
      <c r="U42" s="1">
        <f>Table1[[#This Row],[End Datetime]]-Table1[[#This Row],[Start Datetime]]</f>
        <v>1.7326388888905058</v>
      </c>
    </row>
    <row r="43" spans="1:21" x14ac:dyDescent="0.2">
      <c r="A43" s="2" t="s">
        <v>69</v>
      </c>
      <c r="B43" s="2" t="s">
        <v>214</v>
      </c>
      <c r="C43" s="2">
        <v>5</v>
      </c>
      <c r="D43" s="8">
        <v>44335.732638888891</v>
      </c>
      <c r="E43" s="8">
        <v>44336.534722222219</v>
      </c>
      <c r="F43" s="1">
        <v>0.73263888888888884</v>
      </c>
      <c r="G43" s="1">
        <v>0.53472222222222221</v>
      </c>
      <c r="H43" t="s">
        <v>11</v>
      </c>
      <c r="I43">
        <v>54.057986</v>
      </c>
      <c r="J43">
        <v>-124.888633</v>
      </c>
      <c r="K43" t="s">
        <v>12</v>
      </c>
      <c r="L43" t="s">
        <v>33</v>
      </c>
      <c r="M43" t="s">
        <v>13</v>
      </c>
      <c r="N43">
        <v>0</v>
      </c>
      <c r="O43">
        <v>0</v>
      </c>
      <c r="P43" t="s">
        <v>64</v>
      </c>
      <c r="Q43" t="s">
        <v>13</v>
      </c>
      <c r="R43">
        <v>7.6</v>
      </c>
      <c r="S43" t="s">
        <v>13</v>
      </c>
      <c r="T43" t="s">
        <v>70</v>
      </c>
      <c r="U43" s="1">
        <f>Table1[[#This Row],[End Datetime]]-Table1[[#This Row],[Start Datetime]]</f>
        <v>0.80208333332848269</v>
      </c>
    </row>
    <row r="44" spans="1:21" x14ac:dyDescent="0.2">
      <c r="A44" s="2" t="s">
        <v>71</v>
      </c>
      <c r="B44" s="2" t="s">
        <v>214</v>
      </c>
      <c r="C44" s="2">
        <v>5</v>
      </c>
      <c r="D44" s="8">
        <v>44335.736111111109</v>
      </c>
      <c r="E44" s="8">
        <v>44336.538194444445</v>
      </c>
      <c r="F44" s="1">
        <v>0.73611111111111116</v>
      </c>
      <c r="G44" s="1">
        <v>0.53819444444444442</v>
      </c>
      <c r="H44" t="s">
        <v>11</v>
      </c>
      <c r="I44">
        <v>54.058965000000001</v>
      </c>
      <c r="J44">
        <v>-124.897785</v>
      </c>
      <c r="K44" t="s">
        <v>12</v>
      </c>
      <c r="L44" t="s">
        <v>33</v>
      </c>
      <c r="M44" t="s">
        <v>13</v>
      </c>
      <c r="N44">
        <v>0</v>
      </c>
      <c r="O44">
        <v>0</v>
      </c>
      <c r="P44" t="s">
        <v>64</v>
      </c>
      <c r="Q44" t="s">
        <v>13</v>
      </c>
      <c r="R44">
        <v>2.1</v>
      </c>
      <c r="S44" t="s">
        <v>13</v>
      </c>
      <c r="T44" t="s">
        <v>13</v>
      </c>
      <c r="U44" s="1">
        <f>Table1[[#This Row],[End Datetime]]-Table1[[#This Row],[Start Datetime]]</f>
        <v>0.80208333333575865</v>
      </c>
    </row>
    <row r="45" spans="1:21" x14ac:dyDescent="0.2">
      <c r="A45" t="s">
        <v>18</v>
      </c>
      <c r="B45" s="15">
        <v>1</v>
      </c>
      <c r="C45" s="15">
        <v>5</v>
      </c>
      <c r="D45" s="18">
        <v>44329.628472222219</v>
      </c>
      <c r="E45" s="18">
        <v>44330.607638888891</v>
      </c>
      <c r="F45" s="1">
        <v>0.62847222222222221</v>
      </c>
      <c r="G45" s="1">
        <v>0.60763888888888895</v>
      </c>
      <c r="H45" t="s">
        <v>11</v>
      </c>
      <c r="I45">
        <v>54.065320999999997</v>
      </c>
      <c r="J45">
        <v>-124.641829</v>
      </c>
      <c r="K45" t="s">
        <v>12</v>
      </c>
      <c r="L45" t="s">
        <v>33</v>
      </c>
      <c r="M45" t="s">
        <v>13</v>
      </c>
      <c r="N45">
        <v>0</v>
      </c>
      <c r="O45">
        <v>0</v>
      </c>
      <c r="P45" t="s">
        <v>15</v>
      </c>
      <c r="Q45">
        <v>1000</v>
      </c>
      <c r="R45">
        <v>6</v>
      </c>
      <c r="S45" t="s">
        <v>13</v>
      </c>
      <c r="T45" t="s">
        <v>13</v>
      </c>
      <c r="U45" s="1">
        <f>Table1[[#This Row],[End Datetime]]-Table1[[#This Row],[Start Datetime]]</f>
        <v>0.97916666667151731</v>
      </c>
    </row>
    <row r="46" spans="1:21" x14ac:dyDescent="0.2">
      <c r="A46" s="2" t="s">
        <v>37</v>
      </c>
      <c r="B46" s="15">
        <v>1</v>
      </c>
      <c r="C46" s="15">
        <v>5</v>
      </c>
      <c r="D46" s="18">
        <v>44329.544444444444</v>
      </c>
      <c r="E46" s="18">
        <v>44329.590277777781</v>
      </c>
      <c r="F46" s="1">
        <v>0.5444444444444444</v>
      </c>
      <c r="G46" s="1">
        <v>0.59027777777777779</v>
      </c>
      <c r="H46" t="s">
        <v>31</v>
      </c>
      <c r="I46">
        <v>54.066178000000001</v>
      </c>
      <c r="J46">
        <v>-124.624426</v>
      </c>
      <c r="K46" t="s">
        <v>12</v>
      </c>
      <c r="L46" t="s">
        <v>34</v>
      </c>
      <c r="M46" t="s">
        <v>13</v>
      </c>
      <c r="N46">
        <v>0</v>
      </c>
      <c r="O46">
        <v>0</v>
      </c>
      <c r="P46" t="s">
        <v>13</v>
      </c>
      <c r="Q46" t="s">
        <v>13</v>
      </c>
      <c r="R46" t="s">
        <v>36</v>
      </c>
      <c r="S46" t="s">
        <v>13</v>
      </c>
      <c r="T46" t="s">
        <v>35</v>
      </c>
      <c r="U46" s="1">
        <f>Table1[[#This Row],[End Datetime]]-Table1[[#This Row],[Start Datetime]]</f>
        <v>4.5833333337213844E-2</v>
      </c>
    </row>
    <row r="47" spans="1:21" x14ac:dyDescent="0.2">
      <c r="A47" s="2" t="s">
        <v>38</v>
      </c>
      <c r="B47" s="15">
        <v>1</v>
      </c>
      <c r="C47" s="15">
        <v>5</v>
      </c>
      <c r="D47" s="18">
        <v>44329.594444444447</v>
      </c>
      <c r="E47" s="18">
        <v>44329.649305555555</v>
      </c>
      <c r="F47" s="1">
        <v>0.59444444444444444</v>
      </c>
      <c r="G47" s="1">
        <v>0.64930555555555558</v>
      </c>
      <c r="H47" t="s">
        <v>31</v>
      </c>
      <c r="I47">
        <v>54.061748000000001</v>
      </c>
      <c r="J47">
        <v>-124.624253</v>
      </c>
      <c r="K47" t="s">
        <v>12</v>
      </c>
      <c r="L47" t="s">
        <v>34</v>
      </c>
      <c r="M47" t="s">
        <v>13</v>
      </c>
      <c r="N47">
        <v>0</v>
      </c>
      <c r="O47">
        <v>0</v>
      </c>
      <c r="P47" t="s">
        <v>13</v>
      </c>
      <c r="Q47" t="s">
        <v>13</v>
      </c>
      <c r="R47" s="2" t="s">
        <v>43</v>
      </c>
      <c r="S47" t="s">
        <v>13</v>
      </c>
      <c r="T47" t="s">
        <v>35</v>
      </c>
      <c r="U47" s="1">
        <f>Table1[[#This Row],[End Datetime]]-Table1[[#This Row],[Start Datetime]]</f>
        <v>5.486111110803904E-2</v>
      </c>
    </row>
    <row r="48" spans="1:21" x14ac:dyDescent="0.2">
      <c r="A48" t="s">
        <v>184</v>
      </c>
      <c r="B48" s="2">
        <v>1</v>
      </c>
      <c r="C48" s="7">
        <v>6</v>
      </c>
      <c r="D48" s="9">
        <v>44363.686805555553</v>
      </c>
      <c r="E48" s="9">
        <v>44364.5</v>
      </c>
      <c r="F48" s="1">
        <v>0.68680555555555556</v>
      </c>
      <c r="G48" s="1">
        <v>0.5</v>
      </c>
      <c r="H48" t="s">
        <v>11</v>
      </c>
      <c r="I48">
        <v>54.066189999999999</v>
      </c>
      <c r="J48">
        <v>-124.64255</v>
      </c>
      <c r="K48" t="s">
        <v>12</v>
      </c>
      <c r="L48" t="s">
        <v>33</v>
      </c>
      <c r="M48" t="s">
        <v>303</v>
      </c>
      <c r="N48">
        <v>1</v>
      </c>
      <c r="O48">
        <v>0</v>
      </c>
      <c r="P48" t="s">
        <v>15</v>
      </c>
      <c r="Q48">
        <v>200</v>
      </c>
      <c r="R48">
        <v>9.5</v>
      </c>
      <c r="S48" t="s">
        <v>13</v>
      </c>
      <c r="T48" t="s">
        <v>13</v>
      </c>
      <c r="U48" s="1">
        <f>Table1[[#This Row],[End Datetime]]-Table1[[#This Row],[Start Datetime]]</f>
        <v>0.81319444444670808</v>
      </c>
    </row>
    <row r="49" spans="1:21" x14ac:dyDescent="0.2">
      <c r="A49" t="s">
        <v>174</v>
      </c>
      <c r="B49" s="2">
        <v>1</v>
      </c>
      <c r="C49" s="2">
        <v>6</v>
      </c>
      <c r="D49" s="18">
        <v>44362.720833333333</v>
      </c>
      <c r="E49" s="18">
        <v>44364.455555555556</v>
      </c>
      <c r="F49" s="1">
        <v>0.72083333333333333</v>
      </c>
      <c r="G49" s="1">
        <v>0.45555555555555555</v>
      </c>
      <c r="H49" t="s">
        <v>11</v>
      </c>
      <c r="I49">
        <v>54.070430000000002</v>
      </c>
      <c r="J49">
        <v>-124.62123</v>
      </c>
      <c r="K49" t="s">
        <v>12</v>
      </c>
      <c r="L49" t="s">
        <v>33</v>
      </c>
      <c r="M49" t="s">
        <v>303</v>
      </c>
      <c r="N49">
        <v>1</v>
      </c>
      <c r="O49">
        <v>0</v>
      </c>
      <c r="P49" t="s">
        <v>28</v>
      </c>
      <c r="Q49" t="s">
        <v>13</v>
      </c>
      <c r="R49">
        <v>1.5</v>
      </c>
      <c r="S49" t="s">
        <v>13</v>
      </c>
      <c r="T49" t="s">
        <v>13</v>
      </c>
      <c r="U49" s="1">
        <f>Table1[[#This Row],[End Datetime]]-Table1[[#This Row],[Start Datetime]]</f>
        <v>1.734722222223354</v>
      </c>
    </row>
    <row r="50" spans="1:21" x14ac:dyDescent="0.2">
      <c r="A50" t="s">
        <v>186</v>
      </c>
      <c r="B50" s="2">
        <v>1</v>
      </c>
      <c r="C50" s="16">
        <v>6</v>
      </c>
      <c r="D50" s="19">
        <v>44363.7</v>
      </c>
      <c r="E50" s="9">
        <v>44364.450694444444</v>
      </c>
      <c r="F50" s="1">
        <v>0.70000000000000007</v>
      </c>
      <c r="G50" s="1">
        <v>0.45069444444444445</v>
      </c>
      <c r="H50" t="s">
        <v>11</v>
      </c>
      <c r="I50">
        <v>54.075369999999999</v>
      </c>
      <c r="J50">
        <v>-124.62072999999999</v>
      </c>
      <c r="K50" t="s">
        <v>12</v>
      </c>
      <c r="L50" t="s">
        <v>33</v>
      </c>
      <c r="M50" t="s">
        <v>304</v>
      </c>
      <c r="N50">
        <v>1</v>
      </c>
      <c r="O50">
        <v>0</v>
      </c>
      <c r="P50" t="s">
        <v>64</v>
      </c>
      <c r="Q50">
        <v>350</v>
      </c>
      <c r="R50">
        <v>3</v>
      </c>
      <c r="S50" t="s">
        <v>13</v>
      </c>
      <c r="T50" t="s">
        <v>13</v>
      </c>
      <c r="U50" s="1">
        <f>Table1[[#This Row],[End Datetime]]-Table1[[#This Row],[Start Datetime]]</f>
        <v>0.75069444444670808</v>
      </c>
    </row>
    <row r="51" spans="1:21" x14ac:dyDescent="0.2">
      <c r="A51" t="s">
        <v>173</v>
      </c>
      <c r="B51" s="2">
        <v>1</v>
      </c>
      <c r="C51" s="2">
        <v>6</v>
      </c>
      <c r="D51" s="8">
        <v>44362.697222222225</v>
      </c>
      <c r="E51" s="8">
        <v>44364.462500000001</v>
      </c>
      <c r="F51" s="1">
        <v>0.6972222222222223</v>
      </c>
      <c r="G51" s="1">
        <v>0.46249999999999997</v>
      </c>
      <c r="H51" t="s">
        <v>11</v>
      </c>
      <c r="I51">
        <v>54.058759999999999</v>
      </c>
      <c r="J51">
        <v>-124.62503</v>
      </c>
      <c r="K51" t="s">
        <v>12</v>
      </c>
      <c r="L51" t="s">
        <v>33</v>
      </c>
      <c r="M51" t="s">
        <v>20</v>
      </c>
      <c r="N51">
        <v>1</v>
      </c>
      <c r="O51">
        <v>1</v>
      </c>
      <c r="P51" t="s">
        <v>28</v>
      </c>
      <c r="Q51" t="s">
        <v>13</v>
      </c>
      <c r="R51">
        <v>8.5</v>
      </c>
      <c r="S51" t="s">
        <v>13</v>
      </c>
      <c r="T51" t="s">
        <v>13</v>
      </c>
      <c r="U51" s="1">
        <f>Table1[[#This Row],[End Datetime]]-Table1[[#This Row],[Start Datetime]]</f>
        <v>1.765277777776646</v>
      </c>
    </row>
    <row r="52" spans="1:21" x14ac:dyDescent="0.2">
      <c r="A52" t="s">
        <v>183</v>
      </c>
      <c r="B52" s="2">
        <v>1</v>
      </c>
      <c r="C52" s="7">
        <v>6</v>
      </c>
      <c r="D52" s="9">
        <v>44363.680555555555</v>
      </c>
      <c r="E52" s="9">
        <v>44364.493055555555</v>
      </c>
      <c r="F52" s="1">
        <v>0.68055555555555547</v>
      </c>
      <c r="G52" s="1">
        <v>0.49305555555555558</v>
      </c>
      <c r="H52" t="s">
        <v>11</v>
      </c>
      <c r="I52">
        <v>54.070149999999998</v>
      </c>
      <c r="J52">
        <v>-124.6617</v>
      </c>
      <c r="K52" t="s">
        <v>12</v>
      </c>
      <c r="L52" t="s">
        <v>33</v>
      </c>
      <c r="M52" t="s">
        <v>303</v>
      </c>
      <c r="N52">
        <v>1</v>
      </c>
      <c r="O52">
        <v>0</v>
      </c>
      <c r="P52" t="s">
        <v>15</v>
      </c>
      <c r="Q52">
        <v>100</v>
      </c>
      <c r="R52">
        <v>6</v>
      </c>
      <c r="S52" t="s">
        <v>13</v>
      </c>
      <c r="T52" t="s">
        <v>13</v>
      </c>
      <c r="U52" s="1">
        <f>Table1[[#This Row],[End Datetime]]-Table1[[#This Row],[Start Datetime]]</f>
        <v>0.8125</v>
      </c>
    </row>
    <row r="53" spans="1:21" x14ac:dyDescent="0.2">
      <c r="A53" t="s">
        <v>171</v>
      </c>
      <c r="B53" s="2">
        <v>1</v>
      </c>
      <c r="C53" s="2">
        <v>6</v>
      </c>
      <c r="D53" s="18">
        <v>44362.675694444442</v>
      </c>
      <c r="E53" s="18">
        <v>44363.666666666664</v>
      </c>
      <c r="F53" s="1">
        <v>0.67569444444444438</v>
      </c>
      <c r="G53" s="1">
        <v>0.66666666666666663</v>
      </c>
      <c r="H53" t="s">
        <v>11</v>
      </c>
      <c r="I53">
        <v>54.065350000000002</v>
      </c>
      <c r="J53">
        <v>-124.64354</v>
      </c>
      <c r="K53" t="s">
        <v>12</v>
      </c>
      <c r="L53" t="s">
        <v>33</v>
      </c>
      <c r="M53" t="s">
        <v>223</v>
      </c>
      <c r="N53">
        <v>1</v>
      </c>
      <c r="O53">
        <v>0</v>
      </c>
      <c r="P53" t="s">
        <v>28</v>
      </c>
      <c r="Q53" t="s">
        <v>13</v>
      </c>
      <c r="R53">
        <v>1.2</v>
      </c>
      <c r="S53" t="s">
        <v>13</v>
      </c>
      <c r="T53" t="s">
        <v>13</v>
      </c>
      <c r="U53" s="1">
        <f>Table1[[#This Row],[End Datetime]]-Table1[[#This Row],[Start Datetime]]</f>
        <v>0.99097222222189885</v>
      </c>
    </row>
    <row r="54" spans="1:21" x14ac:dyDescent="0.2">
      <c r="A54" t="s">
        <v>171</v>
      </c>
      <c r="B54" s="2">
        <v>1</v>
      </c>
      <c r="C54" s="7">
        <v>6</v>
      </c>
      <c r="D54" s="9">
        <v>44363.667361111111</v>
      </c>
      <c r="E54" s="9">
        <v>44364.503472222219</v>
      </c>
      <c r="F54" s="1">
        <v>0.66736111111111107</v>
      </c>
      <c r="G54" s="1">
        <v>0.50347222222222221</v>
      </c>
      <c r="H54" t="s">
        <v>11</v>
      </c>
      <c r="I54">
        <v>54.065350000000002</v>
      </c>
      <c r="J54">
        <v>-124.74354</v>
      </c>
      <c r="K54" t="s">
        <v>12</v>
      </c>
      <c r="L54" t="s">
        <v>33</v>
      </c>
      <c r="M54" t="s">
        <v>20</v>
      </c>
      <c r="N54">
        <v>1</v>
      </c>
      <c r="O54">
        <v>1</v>
      </c>
      <c r="P54" t="s">
        <v>28</v>
      </c>
      <c r="Q54" t="s">
        <v>13</v>
      </c>
      <c r="R54">
        <v>5.5</v>
      </c>
      <c r="S54" t="s">
        <v>13</v>
      </c>
      <c r="T54" t="s">
        <v>13</v>
      </c>
      <c r="U54" s="1">
        <f>Table1[[#This Row],[End Datetime]]-Table1[[#This Row],[Start Datetime]]</f>
        <v>0.83611111110803904</v>
      </c>
    </row>
    <row r="55" spans="1:21" x14ac:dyDescent="0.2">
      <c r="A55" t="s">
        <v>185</v>
      </c>
      <c r="B55" s="2">
        <v>1</v>
      </c>
      <c r="C55" s="7">
        <v>6</v>
      </c>
      <c r="D55" s="9">
        <v>44363.694444444445</v>
      </c>
      <c r="E55" s="9">
        <v>44364.444444444445</v>
      </c>
      <c r="F55" s="1">
        <v>0.69444444444444453</v>
      </c>
      <c r="G55" s="1">
        <v>0.44444444444444442</v>
      </c>
      <c r="H55" t="s">
        <v>11</v>
      </c>
      <c r="I55">
        <v>54.078879999999998</v>
      </c>
      <c r="J55">
        <v>-124.62195</v>
      </c>
      <c r="K55" t="s">
        <v>12</v>
      </c>
      <c r="L55" t="s">
        <v>33</v>
      </c>
      <c r="M55" t="s">
        <v>13</v>
      </c>
      <c r="N55">
        <v>0</v>
      </c>
      <c r="O55">
        <v>0</v>
      </c>
      <c r="P55" t="s">
        <v>64</v>
      </c>
      <c r="Q55">
        <v>400</v>
      </c>
      <c r="R55">
        <v>8</v>
      </c>
      <c r="S55" t="s">
        <v>13</v>
      </c>
      <c r="T55" t="s">
        <v>13</v>
      </c>
      <c r="U55" s="1">
        <f>Table1[[#This Row],[End Datetime]]-Table1[[#This Row],[Start Datetime]]</f>
        <v>0.75</v>
      </c>
    </row>
    <row r="56" spans="1:21" x14ac:dyDescent="0.2">
      <c r="A56" t="s">
        <v>172</v>
      </c>
      <c r="B56" s="2">
        <v>1</v>
      </c>
      <c r="C56" s="2">
        <v>6</v>
      </c>
      <c r="D56" s="8">
        <v>44362.688194444447</v>
      </c>
      <c r="E56" s="8">
        <v>44364.458333333336</v>
      </c>
      <c r="F56" s="1">
        <v>0.68819444444444444</v>
      </c>
      <c r="G56" s="1">
        <v>0.45833333333333331</v>
      </c>
      <c r="H56" t="s">
        <v>11</v>
      </c>
      <c r="I56">
        <v>54.058590000000002</v>
      </c>
      <c r="J56">
        <v>-124.62405</v>
      </c>
      <c r="K56" t="s">
        <v>12</v>
      </c>
      <c r="L56" t="s">
        <v>33</v>
      </c>
      <c r="M56" t="s">
        <v>20</v>
      </c>
      <c r="N56">
        <v>1</v>
      </c>
      <c r="O56">
        <v>1</v>
      </c>
      <c r="P56" t="s">
        <v>28</v>
      </c>
      <c r="Q56" t="s">
        <v>13</v>
      </c>
      <c r="R56">
        <v>6.4</v>
      </c>
      <c r="S56" t="s">
        <v>13</v>
      </c>
      <c r="T56" t="s">
        <v>13</v>
      </c>
      <c r="U56" s="1">
        <f>Table1[[#This Row],[End Datetime]]-Table1[[#This Row],[Start Datetime]]</f>
        <v>1.7701388888890506</v>
      </c>
    </row>
    <row r="57" spans="1:21" x14ac:dyDescent="0.2">
      <c r="A57" t="s">
        <v>88</v>
      </c>
      <c r="B57" s="2">
        <v>1</v>
      </c>
      <c r="C57" s="15" t="s">
        <v>170</v>
      </c>
      <c r="D57" s="18">
        <v>44371.521527777775</v>
      </c>
      <c r="E57" s="8">
        <v>44372.496527777781</v>
      </c>
      <c r="F57" s="1">
        <v>0.52152777777777781</v>
      </c>
      <c r="G57" s="1">
        <v>0.49652777777777773</v>
      </c>
      <c r="H57" t="s">
        <v>11</v>
      </c>
      <c r="I57">
        <v>54.070839999999997</v>
      </c>
      <c r="J57">
        <v>-124.66471</v>
      </c>
      <c r="K57" t="s">
        <v>12</v>
      </c>
      <c r="L57" t="s">
        <v>33</v>
      </c>
      <c r="M57" t="s">
        <v>13</v>
      </c>
      <c r="N57">
        <v>0</v>
      </c>
      <c r="O57">
        <v>0</v>
      </c>
      <c r="P57" t="s">
        <v>89</v>
      </c>
      <c r="Q57" t="s">
        <v>13</v>
      </c>
      <c r="R57">
        <v>5.7</v>
      </c>
      <c r="S57" t="s">
        <v>13</v>
      </c>
      <c r="T57" t="s">
        <v>13</v>
      </c>
      <c r="U57" s="1">
        <f>Table1[[#This Row],[End Datetime]]-Table1[[#This Row],[Start Datetime]]</f>
        <v>0.97500000000582077</v>
      </c>
    </row>
    <row r="58" spans="1:21" x14ac:dyDescent="0.2">
      <c r="A58" t="s">
        <v>85</v>
      </c>
      <c r="B58" s="2">
        <v>1</v>
      </c>
      <c r="C58" s="2" t="s">
        <v>170</v>
      </c>
      <c r="D58" s="8">
        <v>44371.493055555555</v>
      </c>
      <c r="E58" s="8">
        <v>44372.413194444445</v>
      </c>
      <c r="F58" s="1">
        <v>0.49305555555555558</v>
      </c>
      <c r="G58" s="1">
        <v>0.41319444444444442</v>
      </c>
      <c r="H58" t="s">
        <v>11</v>
      </c>
      <c r="I58">
        <v>54.086559999999999</v>
      </c>
      <c r="J58">
        <v>-124.62644</v>
      </c>
      <c r="K58" t="s">
        <v>12</v>
      </c>
      <c r="L58" t="s">
        <v>33</v>
      </c>
      <c r="M58" t="s">
        <v>20</v>
      </c>
      <c r="N58">
        <v>1</v>
      </c>
      <c r="O58">
        <v>1</v>
      </c>
      <c r="P58" t="s">
        <v>64</v>
      </c>
      <c r="Q58" t="s">
        <v>13</v>
      </c>
      <c r="R58">
        <v>4.5999999999999996</v>
      </c>
      <c r="S58" t="s">
        <v>13</v>
      </c>
      <c r="T58" t="s">
        <v>13</v>
      </c>
      <c r="U58" s="1">
        <f>Table1[[#This Row],[End Datetime]]-Table1[[#This Row],[Start Datetime]]</f>
        <v>0.92013888889050577</v>
      </c>
    </row>
    <row r="59" spans="1:21" x14ac:dyDescent="0.2">
      <c r="A59" t="s">
        <v>86</v>
      </c>
      <c r="B59" s="2">
        <v>1</v>
      </c>
      <c r="C59" s="2" t="s">
        <v>170</v>
      </c>
      <c r="D59" s="8">
        <v>44371.509027777778</v>
      </c>
      <c r="E59" s="8">
        <v>44372.506944444445</v>
      </c>
      <c r="F59" s="1">
        <v>0.50902777777777775</v>
      </c>
      <c r="G59" s="1">
        <v>0.50694444444444442</v>
      </c>
      <c r="H59" t="s">
        <v>11</v>
      </c>
      <c r="I59">
        <v>54.060760000000002</v>
      </c>
      <c r="J59">
        <v>-124.63878</v>
      </c>
      <c r="K59" t="s">
        <v>12</v>
      </c>
      <c r="L59" t="s">
        <v>33</v>
      </c>
      <c r="M59" t="s">
        <v>20</v>
      </c>
      <c r="N59">
        <v>1</v>
      </c>
      <c r="O59">
        <v>1</v>
      </c>
      <c r="P59" t="s">
        <v>64</v>
      </c>
      <c r="Q59" t="s">
        <v>13</v>
      </c>
      <c r="R59">
        <v>6.9</v>
      </c>
      <c r="S59" t="s">
        <v>13</v>
      </c>
      <c r="T59" t="s">
        <v>13</v>
      </c>
      <c r="U59" s="1">
        <f>Table1[[#This Row],[End Datetime]]-Table1[[#This Row],[Start Datetime]]</f>
        <v>0.99791666666715173</v>
      </c>
    </row>
    <row r="60" spans="1:21" x14ac:dyDescent="0.2">
      <c r="A60" t="s">
        <v>84</v>
      </c>
      <c r="B60" s="2">
        <v>1</v>
      </c>
      <c r="C60" s="15" t="s">
        <v>170</v>
      </c>
      <c r="D60" s="18">
        <v>44371.479166666664</v>
      </c>
      <c r="E60" s="8">
        <v>44372.396527777775</v>
      </c>
      <c r="F60" s="1">
        <v>0.47916666666666669</v>
      </c>
      <c r="G60" s="1">
        <v>0.39652777777777781</v>
      </c>
      <c r="H60" t="s">
        <v>11</v>
      </c>
      <c r="I60">
        <v>54.101759999999999</v>
      </c>
      <c r="J60">
        <v>-124.66391</v>
      </c>
      <c r="K60" t="s">
        <v>12</v>
      </c>
      <c r="L60" t="s">
        <v>33</v>
      </c>
      <c r="M60" t="s">
        <v>13</v>
      </c>
      <c r="N60">
        <v>0</v>
      </c>
      <c r="O60">
        <v>0</v>
      </c>
      <c r="P60" t="s">
        <v>64</v>
      </c>
      <c r="Q60" t="s">
        <v>13</v>
      </c>
      <c r="R60">
        <v>6.5</v>
      </c>
      <c r="S60" t="s">
        <v>13</v>
      </c>
      <c r="T60" t="s">
        <v>13</v>
      </c>
      <c r="U60" s="1">
        <f>Table1[[#This Row],[End Datetime]]-Table1[[#This Row],[Start Datetime]]</f>
        <v>0.91736111111094942</v>
      </c>
    </row>
    <row r="61" spans="1:21" x14ac:dyDescent="0.2">
      <c r="A61" t="s">
        <v>87</v>
      </c>
      <c r="B61" s="2">
        <v>1</v>
      </c>
      <c r="C61" s="15" t="s">
        <v>170</v>
      </c>
      <c r="D61" s="18">
        <v>44371.515277777777</v>
      </c>
      <c r="E61" s="8">
        <v>44372.5</v>
      </c>
      <c r="F61" s="1">
        <v>0.51527777777777783</v>
      </c>
      <c r="G61" s="1">
        <v>0.5</v>
      </c>
      <c r="H61" t="s">
        <v>11</v>
      </c>
      <c r="I61">
        <v>54.069659999999999</v>
      </c>
      <c r="J61">
        <v>-124.64897000000001</v>
      </c>
      <c r="K61" t="s">
        <v>12</v>
      </c>
      <c r="L61" t="s">
        <v>33</v>
      </c>
      <c r="M61" t="s">
        <v>13</v>
      </c>
      <c r="N61">
        <v>0</v>
      </c>
      <c r="O61">
        <v>0</v>
      </c>
      <c r="P61" t="s">
        <v>64</v>
      </c>
      <c r="Q61" t="s">
        <v>13</v>
      </c>
      <c r="R61">
        <v>8.6999999999999993</v>
      </c>
      <c r="S61" t="s">
        <v>13</v>
      </c>
      <c r="T61" t="s">
        <v>13</v>
      </c>
      <c r="U61" s="1">
        <f>Table1[[#This Row],[End Datetime]]-Table1[[#This Row],[Start Datetime]]</f>
        <v>0.98472222222335404</v>
      </c>
    </row>
    <row r="62" spans="1:21" x14ac:dyDescent="0.2">
      <c r="A62" s="2" t="s">
        <v>83</v>
      </c>
      <c r="B62" s="2">
        <v>1</v>
      </c>
      <c r="C62" s="2" t="s">
        <v>170</v>
      </c>
      <c r="D62" s="8">
        <v>44371.473611111112</v>
      </c>
      <c r="E62" s="8">
        <v>44372.405555555553</v>
      </c>
      <c r="F62" s="1">
        <v>0.47361111111111115</v>
      </c>
      <c r="G62" s="1">
        <v>0.4055555555555555</v>
      </c>
      <c r="H62" t="s">
        <v>11</v>
      </c>
      <c r="I62">
        <v>54.100070000000002</v>
      </c>
      <c r="J62">
        <v>-124.65309000000001</v>
      </c>
      <c r="K62" t="s">
        <v>12</v>
      </c>
      <c r="L62" t="s">
        <v>33</v>
      </c>
      <c r="M62" t="s">
        <v>20</v>
      </c>
      <c r="N62">
        <v>1</v>
      </c>
      <c r="O62">
        <v>1</v>
      </c>
      <c r="P62" t="s">
        <v>64</v>
      </c>
      <c r="Q62" t="s">
        <v>13</v>
      </c>
      <c r="R62">
        <v>8.5</v>
      </c>
      <c r="S62" t="s">
        <v>13</v>
      </c>
      <c r="T62" t="s">
        <v>13</v>
      </c>
      <c r="U62" s="1">
        <f>Table1[[#This Row],[End Datetime]]-Table1[[#This Row],[Start Datetime]]</f>
        <v>0.93194444444088731</v>
      </c>
    </row>
    <row r="63" spans="1:21" x14ac:dyDescent="0.2">
      <c r="A63" t="s">
        <v>269</v>
      </c>
      <c r="B63" s="15">
        <v>1</v>
      </c>
      <c r="C63" s="15">
        <v>10</v>
      </c>
      <c r="D63" s="18">
        <v>44475.635416666664</v>
      </c>
      <c r="E63" s="18">
        <v>44476.559027777781</v>
      </c>
      <c r="F63" s="1">
        <v>0.63541666666666663</v>
      </c>
      <c r="G63" s="1">
        <v>0.55902777777777779</v>
      </c>
      <c r="H63" t="s">
        <v>11</v>
      </c>
      <c r="I63">
        <v>54.065100000000001</v>
      </c>
      <c r="J63">
        <v>-124.64291</v>
      </c>
      <c r="K63" t="s">
        <v>12</v>
      </c>
      <c r="L63" t="s">
        <v>33</v>
      </c>
      <c r="M63" t="s">
        <v>20</v>
      </c>
      <c r="N63">
        <v>1</v>
      </c>
      <c r="O63">
        <v>1</v>
      </c>
      <c r="P63" t="s">
        <v>15</v>
      </c>
      <c r="Q63">
        <v>200</v>
      </c>
      <c r="R63">
        <v>6</v>
      </c>
      <c r="S63" t="s">
        <v>13</v>
      </c>
      <c r="T63" t="s">
        <v>270</v>
      </c>
      <c r="U63" s="1">
        <f>Table1[[#This Row],[End Datetime]]-Table1[[#This Row],[Start Datetime]]</f>
        <v>0.92361111111677019</v>
      </c>
    </row>
    <row r="64" spans="1:21" x14ac:dyDescent="0.2">
      <c r="A64" t="s">
        <v>266</v>
      </c>
      <c r="B64" s="2">
        <v>1</v>
      </c>
      <c r="C64" s="2">
        <v>10</v>
      </c>
      <c r="D64" s="8">
        <v>44475.614583333336</v>
      </c>
      <c r="E64" s="8">
        <v>44476.548611111109</v>
      </c>
      <c r="F64" s="1">
        <v>0.61458333333333337</v>
      </c>
      <c r="G64" s="1">
        <v>0.54861111111111105</v>
      </c>
      <c r="H64" t="s">
        <v>11</v>
      </c>
      <c r="I64">
        <v>54.072330000000001</v>
      </c>
      <c r="J64">
        <v>-124.66454</v>
      </c>
      <c r="K64" t="s">
        <v>12</v>
      </c>
      <c r="L64" t="s">
        <v>33</v>
      </c>
      <c r="M64" t="s">
        <v>13</v>
      </c>
      <c r="N64">
        <v>0</v>
      </c>
      <c r="O64">
        <v>0</v>
      </c>
      <c r="P64" t="s">
        <v>15</v>
      </c>
      <c r="Q64">
        <v>200</v>
      </c>
      <c r="R64">
        <v>8.9</v>
      </c>
      <c r="S64" t="s">
        <v>13</v>
      </c>
      <c r="T64" t="s">
        <v>265</v>
      </c>
      <c r="U64" s="1">
        <f>Table1[[#This Row],[End Datetime]]-Table1[[#This Row],[Start Datetime]]</f>
        <v>0.93402777777373558</v>
      </c>
    </row>
    <row r="65" spans="1:21" x14ac:dyDescent="0.2">
      <c r="A65" t="s">
        <v>271</v>
      </c>
      <c r="B65" s="2">
        <v>1</v>
      </c>
      <c r="C65" s="2">
        <v>10</v>
      </c>
      <c r="D65" s="8">
        <v>44475.638888888891</v>
      </c>
      <c r="E65" s="8">
        <v>44476.569444444445</v>
      </c>
      <c r="F65" s="1">
        <v>0.63888888888888895</v>
      </c>
      <c r="G65" s="1">
        <v>0.56944444444444442</v>
      </c>
      <c r="H65" t="s">
        <v>11</v>
      </c>
      <c r="I65">
        <v>54.06035</v>
      </c>
      <c r="J65">
        <v>-124.63428999999999</v>
      </c>
      <c r="K65" t="s">
        <v>12</v>
      </c>
      <c r="L65" t="s">
        <v>33</v>
      </c>
      <c r="M65" t="s">
        <v>13</v>
      </c>
      <c r="N65">
        <v>0</v>
      </c>
      <c r="O65">
        <v>0</v>
      </c>
      <c r="P65" t="s">
        <v>15</v>
      </c>
      <c r="Q65">
        <v>200</v>
      </c>
      <c r="R65">
        <v>9.1999999999999993</v>
      </c>
      <c r="S65" t="s">
        <v>13</v>
      </c>
      <c r="T65" t="s">
        <v>265</v>
      </c>
      <c r="U65" s="1">
        <f>Table1[[#This Row],[End Datetime]]-Table1[[#This Row],[Start Datetime]]</f>
        <v>0.93055555555474712</v>
      </c>
    </row>
    <row r="66" spans="1:21" x14ac:dyDescent="0.2">
      <c r="A66" t="s">
        <v>275</v>
      </c>
      <c r="B66" s="2">
        <v>1</v>
      </c>
      <c r="C66" s="2">
        <v>10</v>
      </c>
      <c r="D66" s="8">
        <v>44475.652777777781</v>
      </c>
      <c r="E66" s="8">
        <v>44476.579861111109</v>
      </c>
      <c r="F66" s="1">
        <v>0.65277777777777779</v>
      </c>
      <c r="G66" s="1">
        <v>0.57986111111111105</v>
      </c>
      <c r="H66" t="s">
        <v>11</v>
      </c>
      <c r="I66">
        <v>54.060830000000003</v>
      </c>
      <c r="J66">
        <v>-124.62354000000001</v>
      </c>
      <c r="K66" t="s">
        <v>12</v>
      </c>
      <c r="L66" t="s">
        <v>33</v>
      </c>
      <c r="M66" t="s">
        <v>303</v>
      </c>
      <c r="N66">
        <v>1</v>
      </c>
      <c r="O66">
        <v>0</v>
      </c>
      <c r="P66" t="s">
        <v>15</v>
      </c>
      <c r="Q66">
        <v>200</v>
      </c>
      <c r="R66">
        <v>10</v>
      </c>
      <c r="S66" t="s">
        <v>13</v>
      </c>
      <c r="T66" t="s">
        <v>274</v>
      </c>
      <c r="U66" s="1">
        <f>Table1[[#This Row],[End Datetime]]-Table1[[#This Row],[Start Datetime]]</f>
        <v>0.92708333332848269</v>
      </c>
    </row>
    <row r="67" spans="1:21" x14ac:dyDescent="0.2">
      <c r="A67" t="s">
        <v>296</v>
      </c>
      <c r="B67" s="21">
        <v>1</v>
      </c>
      <c r="C67" s="21">
        <v>10</v>
      </c>
      <c r="D67" s="19">
        <v>44476.618055555555</v>
      </c>
      <c r="E67" s="19">
        <v>44477.510416666664</v>
      </c>
      <c r="F67" s="1">
        <v>0.61805555555555558</v>
      </c>
      <c r="G67" s="1">
        <v>0.51041666666666663</v>
      </c>
      <c r="H67" t="s">
        <v>11</v>
      </c>
      <c r="I67">
        <v>54.101750000000003</v>
      </c>
      <c r="J67">
        <v>-124.65774999999999</v>
      </c>
      <c r="K67" t="s">
        <v>12</v>
      </c>
      <c r="L67" t="s">
        <v>33</v>
      </c>
      <c r="M67" t="s">
        <v>13</v>
      </c>
      <c r="N67">
        <v>0</v>
      </c>
      <c r="O67">
        <v>0</v>
      </c>
      <c r="P67" t="s">
        <v>15</v>
      </c>
      <c r="Q67">
        <v>200</v>
      </c>
      <c r="R67">
        <v>3.9</v>
      </c>
      <c r="S67" t="s">
        <v>13</v>
      </c>
      <c r="T67" t="s">
        <v>297</v>
      </c>
      <c r="U67" s="1">
        <f>Table1[[#This Row],[End Datetime]]-Table1[[#This Row],[Start Datetime]]</f>
        <v>0.89236111110949423</v>
      </c>
    </row>
    <row r="68" spans="1:21" x14ac:dyDescent="0.2">
      <c r="A68" t="s">
        <v>272</v>
      </c>
      <c r="B68" s="2">
        <v>1</v>
      </c>
      <c r="C68" s="2">
        <v>10</v>
      </c>
      <c r="D68" s="8">
        <v>44475.645833333336</v>
      </c>
      <c r="E68" s="8">
        <v>44476.572916666664</v>
      </c>
      <c r="F68" s="1">
        <v>0.64583333333333337</v>
      </c>
      <c r="G68" s="1">
        <v>0.57291666666666663</v>
      </c>
      <c r="H68" t="s">
        <v>11</v>
      </c>
      <c r="I68">
        <v>54.058309999999999</v>
      </c>
      <c r="J68">
        <v>-124.63585</v>
      </c>
      <c r="K68" t="s">
        <v>12</v>
      </c>
      <c r="L68" t="s">
        <v>33</v>
      </c>
      <c r="M68" t="s">
        <v>13</v>
      </c>
      <c r="N68">
        <v>0</v>
      </c>
      <c r="O68">
        <v>0</v>
      </c>
      <c r="P68" t="s">
        <v>15</v>
      </c>
      <c r="Q68">
        <v>200</v>
      </c>
      <c r="R68">
        <v>5.5</v>
      </c>
      <c r="S68" t="s">
        <v>13</v>
      </c>
      <c r="T68" t="s">
        <v>13</v>
      </c>
      <c r="U68" s="1">
        <f>Table1[[#This Row],[End Datetime]]-Table1[[#This Row],[Start Datetime]]</f>
        <v>0.92708333332848269</v>
      </c>
    </row>
    <row r="69" spans="1:21" x14ac:dyDescent="0.2">
      <c r="A69" t="s">
        <v>294</v>
      </c>
      <c r="B69" s="21">
        <v>1</v>
      </c>
      <c r="C69" s="21">
        <v>10</v>
      </c>
      <c r="D69" s="19">
        <v>44476.611111111109</v>
      </c>
      <c r="E69" s="19">
        <v>44477.524305555555</v>
      </c>
      <c r="F69" s="1">
        <v>0.61111111111111105</v>
      </c>
      <c r="G69" s="1">
        <v>0.52430555555555558</v>
      </c>
      <c r="H69" t="s">
        <v>11</v>
      </c>
      <c r="I69">
        <v>54.085349999999998</v>
      </c>
      <c r="J69">
        <v>-124.62873</v>
      </c>
      <c r="K69" t="s">
        <v>12</v>
      </c>
      <c r="L69" t="s">
        <v>33</v>
      </c>
      <c r="M69" t="s">
        <v>303</v>
      </c>
      <c r="N69">
        <v>1</v>
      </c>
      <c r="O69">
        <v>0</v>
      </c>
      <c r="P69" t="s">
        <v>15</v>
      </c>
      <c r="Q69">
        <v>200</v>
      </c>
      <c r="R69">
        <v>6.9</v>
      </c>
      <c r="S69" t="s">
        <v>13</v>
      </c>
      <c r="T69" t="s">
        <v>13</v>
      </c>
      <c r="U69" s="1">
        <f>Table1[[#This Row],[End Datetime]]-Table1[[#This Row],[Start Datetime]]</f>
        <v>0.91319444444525288</v>
      </c>
    </row>
    <row r="70" spans="1:21" x14ac:dyDescent="0.2">
      <c r="A70" t="s">
        <v>295</v>
      </c>
      <c r="B70" s="21">
        <v>1</v>
      </c>
      <c r="C70" s="21">
        <v>10</v>
      </c>
      <c r="D70" s="19">
        <v>44476.614583333336</v>
      </c>
      <c r="E70" s="19">
        <v>44477.513888888891</v>
      </c>
      <c r="F70" s="1">
        <v>0.61458333333333337</v>
      </c>
      <c r="G70" s="1">
        <v>0.51388888888888895</v>
      </c>
      <c r="H70" t="s">
        <v>11</v>
      </c>
      <c r="I70">
        <v>54.09225</v>
      </c>
      <c r="J70">
        <v>-124.63235</v>
      </c>
      <c r="K70" t="s">
        <v>12</v>
      </c>
      <c r="L70" t="s">
        <v>33</v>
      </c>
      <c r="M70" t="s">
        <v>303</v>
      </c>
      <c r="N70">
        <v>1</v>
      </c>
      <c r="O70">
        <v>0</v>
      </c>
      <c r="P70" t="s">
        <v>15</v>
      </c>
      <c r="Q70">
        <v>200</v>
      </c>
      <c r="R70">
        <v>4.7</v>
      </c>
      <c r="S70" t="s">
        <v>13</v>
      </c>
      <c r="T70" t="s">
        <v>13</v>
      </c>
      <c r="U70" s="1">
        <f>Table1[[#This Row],[End Datetime]]-Table1[[#This Row],[Start Datetime]]</f>
        <v>0.89930555555474712</v>
      </c>
    </row>
    <row r="71" spans="1:21" x14ac:dyDescent="0.2">
      <c r="A71" t="s">
        <v>268</v>
      </c>
      <c r="B71" s="2">
        <v>1</v>
      </c>
      <c r="C71" s="2">
        <v>10</v>
      </c>
      <c r="D71" s="8">
        <v>44475.628472222219</v>
      </c>
      <c r="E71" s="8">
        <v>44476.555555555555</v>
      </c>
      <c r="F71" s="1">
        <v>0.62847222222222221</v>
      </c>
      <c r="G71" s="1">
        <v>0.55555555555555558</v>
      </c>
      <c r="H71" t="s">
        <v>11</v>
      </c>
      <c r="I71">
        <v>54.069400000000002</v>
      </c>
      <c r="J71">
        <v>-124.65926</v>
      </c>
      <c r="K71" t="s">
        <v>12</v>
      </c>
      <c r="L71" t="s">
        <v>33</v>
      </c>
      <c r="M71" t="s">
        <v>13</v>
      </c>
      <c r="N71">
        <v>0</v>
      </c>
      <c r="O71">
        <v>0</v>
      </c>
      <c r="P71" t="s">
        <v>15</v>
      </c>
      <c r="Q71">
        <v>200</v>
      </c>
      <c r="R71">
        <v>4</v>
      </c>
      <c r="S71" t="s">
        <v>13</v>
      </c>
      <c r="T71" t="s">
        <v>13</v>
      </c>
      <c r="U71" s="1">
        <f>Table1[[#This Row],[End Datetime]]-Table1[[#This Row],[Start Datetime]]</f>
        <v>0.92708333333575865</v>
      </c>
    </row>
    <row r="72" spans="1:21" x14ac:dyDescent="0.2">
      <c r="A72" t="s">
        <v>273</v>
      </c>
      <c r="B72" s="2">
        <v>1</v>
      </c>
      <c r="C72" s="2">
        <v>10</v>
      </c>
      <c r="D72" s="8">
        <v>44475.649305555555</v>
      </c>
      <c r="E72" s="8">
        <v>44476.576388888891</v>
      </c>
      <c r="F72" s="1">
        <v>0.64930555555555558</v>
      </c>
      <c r="G72" s="1">
        <v>0.57638888888888895</v>
      </c>
      <c r="H72" t="s">
        <v>11</v>
      </c>
      <c r="I72">
        <v>54.058770000000003</v>
      </c>
      <c r="J72">
        <v>-124.6319</v>
      </c>
      <c r="K72" t="s">
        <v>12</v>
      </c>
      <c r="L72" t="s">
        <v>33</v>
      </c>
      <c r="M72" t="s">
        <v>13</v>
      </c>
      <c r="N72">
        <v>0</v>
      </c>
      <c r="O72">
        <v>0</v>
      </c>
      <c r="P72" t="s">
        <v>15</v>
      </c>
      <c r="Q72">
        <v>200</v>
      </c>
      <c r="R72">
        <v>7</v>
      </c>
      <c r="S72" t="s">
        <v>13</v>
      </c>
      <c r="T72" t="s">
        <v>13</v>
      </c>
      <c r="U72" s="1">
        <f>Table1[[#This Row],[End Datetime]]-Table1[[#This Row],[Start Datetime]]</f>
        <v>0.92708333333575865</v>
      </c>
    </row>
    <row r="73" spans="1:21" x14ac:dyDescent="0.2">
      <c r="A73" t="s">
        <v>298</v>
      </c>
      <c r="B73" s="21">
        <v>1</v>
      </c>
      <c r="C73" s="21">
        <v>10</v>
      </c>
      <c r="D73" s="19">
        <v>44476.631944444445</v>
      </c>
      <c r="E73" s="19">
        <v>44477.538194444445</v>
      </c>
      <c r="F73" s="1">
        <v>0.63194444444444442</v>
      </c>
      <c r="G73" s="1">
        <v>0.53819444444444442</v>
      </c>
      <c r="H73" t="s">
        <v>11</v>
      </c>
      <c r="I73">
        <v>54.060639999999999</v>
      </c>
      <c r="J73">
        <v>-124.62645999999999</v>
      </c>
      <c r="K73" t="s">
        <v>12</v>
      </c>
      <c r="L73" t="s">
        <v>33</v>
      </c>
      <c r="M73" t="s">
        <v>13</v>
      </c>
      <c r="N73">
        <v>0</v>
      </c>
      <c r="O73">
        <v>0</v>
      </c>
      <c r="P73" t="s">
        <v>15</v>
      </c>
      <c r="Q73">
        <v>200</v>
      </c>
      <c r="R73">
        <v>7.5</v>
      </c>
      <c r="S73" t="s">
        <v>13</v>
      </c>
      <c r="T73" t="s">
        <v>299</v>
      </c>
      <c r="U73" s="1">
        <f>Table1[[#This Row],[End Datetime]]-Table1[[#This Row],[Start Datetime]]</f>
        <v>0.90625</v>
      </c>
    </row>
    <row r="74" spans="1:21" x14ac:dyDescent="0.2">
      <c r="A74" t="s">
        <v>292</v>
      </c>
      <c r="B74" s="21">
        <v>1</v>
      </c>
      <c r="C74" s="21">
        <v>10</v>
      </c>
      <c r="D74" s="19">
        <v>44476.597222222219</v>
      </c>
      <c r="E74" s="19">
        <v>44477.527777777781</v>
      </c>
      <c r="F74" s="1">
        <v>0.59722222222222221</v>
      </c>
      <c r="G74" s="1">
        <v>0.52777777777777779</v>
      </c>
      <c r="H74" t="s">
        <v>11</v>
      </c>
      <c r="I74">
        <v>54.082129999999999</v>
      </c>
      <c r="J74">
        <v>-124.62009</v>
      </c>
      <c r="K74" t="s">
        <v>12</v>
      </c>
      <c r="L74" t="s">
        <v>33</v>
      </c>
      <c r="M74" t="s">
        <v>13</v>
      </c>
      <c r="N74">
        <v>0</v>
      </c>
      <c r="O74">
        <v>0</v>
      </c>
      <c r="P74" t="s">
        <v>15</v>
      </c>
      <c r="Q74">
        <v>200</v>
      </c>
      <c r="R74">
        <v>3</v>
      </c>
      <c r="S74" t="s">
        <v>13</v>
      </c>
      <c r="T74" t="s">
        <v>293</v>
      </c>
      <c r="U74" s="1">
        <f>Table1[[#This Row],[End Datetime]]-Table1[[#This Row],[Start Datetime]]</f>
        <v>0.93055555556202307</v>
      </c>
    </row>
    <row r="75" spans="1:21" x14ac:dyDescent="0.2">
      <c r="A75" t="s">
        <v>290</v>
      </c>
      <c r="B75" s="21">
        <v>1</v>
      </c>
      <c r="C75" s="21">
        <v>10</v>
      </c>
      <c r="D75" s="19">
        <v>44476.59375</v>
      </c>
      <c r="E75" s="19">
        <v>44477.53125</v>
      </c>
      <c r="F75" s="1">
        <v>0.59375</v>
      </c>
      <c r="G75" s="1">
        <v>0.53125</v>
      </c>
      <c r="H75" t="s">
        <v>11</v>
      </c>
      <c r="I75">
        <v>54.074660000000002</v>
      </c>
      <c r="J75">
        <v>-124.61677</v>
      </c>
      <c r="K75" t="s">
        <v>12</v>
      </c>
      <c r="L75" t="s">
        <v>33</v>
      </c>
      <c r="M75" t="s">
        <v>13</v>
      </c>
      <c r="N75">
        <v>0</v>
      </c>
      <c r="O75">
        <v>0</v>
      </c>
      <c r="P75" t="s">
        <v>15</v>
      </c>
      <c r="Q75">
        <v>200</v>
      </c>
      <c r="R75">
        <v>5</v>
      </c>
      <c r="S75" t="s">
        <v>13</v>
      </c>
      <c r="T75" t="s">
        <v>291</v>
      </c>
      <c r="U75" s="1">
        <f>Table1[[#This Row],[End Datetime]]-Table1[[#This Row],[Start Datetime]]</f>
        <v>0.9375</v>
      </c>
    </row>
    <row r="76" spans="1:21" x14ac:dyDescent="0.2">
      <c r="A76" t="s">
        <v>287</v>
      </c>
      <c r="B76" s="21">
        <v>1</v>
      </c>
      <c r="C76" s="21">
        <v>10</v>
      </c>
      <c r="D76" s="19">
        <v>44476.586805555555</v>
      </c>
      <c r="E76" s="19">
        <v>44477.534722222219</v>
      </c>
      <c r="F76" s="1">
        <v>0.58680555555555558</v>
      </c>
      <c r="G76" s="1">
        <v>0.53472222222222221</v>
      </c>
      <c r="H76" t="s">
        <v>11</v>
      </c>
      <c r="I76">
        <v>54.070729999999998</v>
      </c>
      <c r="J76">
        <v>-124.61954</v>
      </c>
      <c r="K76" t="s">
        <v>12</v>
      </c>
      <c r="L76" t="s">
        <v>33</v>
      </c>
      <c r="M76" t="s">
        <v>13</v>
      </c>
      <c r="N76">
        <v>0</v>
      </c>
      <c r="O76">
        <v>0</v>
      </c>
      <c r="P76" t="s">
        <v>15</v>
      </c>
      <c r="Q76">
        <v>200</v>
      </c>
      <c r="R76">
        <v>8</v>
      </c>
      <c r="S76" t="s">
        <v>13</v>
      </c>
      <c r="T76" t="s">
        <v>289</v>
      </c>
      <c r="U76" s="1">
        <f>Table1[[#This Row],[End Datetime]]-Table1[[#This Row],[Start Datetime]]</f>
        <v>0.94791666666424135</v>
      </c>
    </row>
    <row r="77" spans="1:21" x14ac:dyDescent="0.2">
      <c r="A77" t="s">
        <v>267</v>
      </c>
      <c r="B77" s="2">
        <v>1</v>
      </c>
      <c r="C77" s="2">
        <v>10</v>
      </c>
      <c r="D77" s="8">
        <v>44475.621527777781</v>
      </c>
      <c r="E77" s="8">
        <v>44476.552083333336</v>
      </c>
      <c r="F77" s="1">
        <v>0.62152777777777779</v>
      </c>
      <c r="G77" s="1">
        <v>0.55208333333333337</v>
      </c>
      <c r="H77" t="s">
        <v>11</v>
      </c>
      <c r="I77">
        <v>54.070360000000001</v>
      </c>
      <c r="J77">
        <v>-124.66063</v>
      </c>
      <c r="K77" t="s">
        <v>12</v>
      </c>
      <c r="L77" t="s">
        <v>33</v>
      </c>
      <c r="M77" t="s">
        <v>13</v>
      </c>
      <c r="N77">
        <v>0</v>
      </c>
      <c r="O77">
        <v>0</v>
      </c>
      <c r="P77" t="s">
        <v>15</v>
      </c>
      <c r="Q77">
        <v>200</v>
      </c>
      <c r="R77">
        <v>7.5</v>
      </c>
      <c r="S77" t="s">
        <v>13</v>
      </c>
      <c r="T77" t="s">
        <v>13</v>
      </c>
      <c r="U77" s="1">
        <f>Table1[[#This Row],[End Datetime]]-Table1[[#This Row],[Start Datetime]]</f>
        <v>0.93055555555474712</v>
      </c>
    </row>
    <row r="78" spans="1:21" x14ac:dyDescent="0.2">
      <c r="A78" t="s">
        <v>285</v>
      </c>
      <c r="B78" s="21">
        <v>1</v>
      </c>
      <c r="C78" s="21">
        <v>10</v>
      </c>
      <c r="D78" s="19">
        <v>44476.583333333336</v>
      </c>
      <c r="E78" s="19">
        <v>44477.536111111112</v>
      </c>
      <c r="F78" s="1">
        <v>0.58333333333333337</v>
      </c>
      <c r="G78" s="1">
        <v>0.53611111111111109</v>
      </c>
      <c r="H78" t="s">
        <v>11</v>
      </c>
      <c r="I78">
        <v>54.061100000000003</v>
      </c>
      <c r="J78">
        <v>-124.62202000000001</v>
      </c>
      <c r="K78" t="s">
        <v>12</v>
      </c>
      <c r="L78" t="s">
        <v>33</v>
      </c>
      <c r="M78" t="s">
        <v>13</v>
      </c>
      <c r="N78">
        <v>0</v>
      </c>
      <c r="O78">
        <v>0</v>
      </c>
      <c r="P78" t="s">
        <v>15</v>
      </c>
      <c r="Q78">
        <v>200</v>
      </c>
      <c r="R78">
        <v>6.5</v>
      </c>
      <c r="S78" t="s">
        <v>13</v>
      </c>
      <c r="T78" t="s">
        <v>286</v>
      </c>
      <c r="U78" s="1">
        <f>Table1[[#This Row],[End Datetime]]-Table1[[#This Row],[Start Datetime]]</f>
        <v>0.95277777777664596</v>
      </c>
    </row>
    <row r="79" spans="1:21" x14ac:dyDescent="0.2">
      <c r="A79" t="s">
        <v>102</v>
      </c>
      <c r="B79" s="2">
        <v>1</v>
      </c>
      <c r="C79" s="15">
        <v>7</v>
      </c>
      <c r="D79" s="18">
        <v>44405.720833333333</v>
      </c>
      <c r="E79" s="18">
        <v>44406.436111111114</v>
      </c>
      <c r="F79" s="1">
        <v>0.72083333333333333</v>
      </c>
      <c r="G79" s="1">
        <v>0.43611111111111112</v>
      </c>
      <c r="H79" t="s">
        <v>11</v>
      </c>
      <c r="I79">
        <v>54.051293999999999</v>
      </c>
      <c r="J79">
        <v>-124.37524500000001</v>
      </c>
      <c r="K79" t="s">
        <v>12</v>
      </c>
      <c r="L79" t="s">
        <v>33</v>
      </c>
      <c r="M79" t="s">
        <v>303</v>
      </c>
      <c r="N79">
        <v>1</v>
      </c>
      <c r="O79">
        <v>0</v>
      </c>
      <c r="P79" t="s">
        <v>92</v>
      </c>
      <c r="Q79" t="s">
        <v>13</v>
      </c>
      <c r="R79">
        <v>8.6</v>
      </c>
      <c r="S79" t="s">
        <v>13</v>
      </c>
      <c r="T79" t="s">
        <v>13</v>
      </c>
      <c r="U79" s="1">
        <f>Table1[[#This Row],[End Datetime]]-Table1[[#This Row],[Start Datetime]]</f>
        <v>0.71527777778101154</v>
      </c>
    </row>
    <row r="80" spans="1:21" x14ac:dyDescent="0.2">
      <c r="A80" t="s">
        <v>105</v>
      </c>
      <c r="B80" s="2">
        <v>1</v>
      </c>
      <c r="C80" s="15">
        <v>7</v>
      </c>
      <c r="D80" s="18">
        <v>44405.744444444441</v>
      </c>
      <c r="E80" s="18">
        <v>44406.425694444442</v>
      </c>
      <c r="F80" s="1">
        <v>0.74444444444444446</v>
      </c>
      <c r="G80" s="1">
        <v>0.42569444444444443</v>
      </c>
      <c r="H80" t="s">
        <v>11</v>
      </c>
      <c r="I80">
        <v>54.055936000000003</v>
      </c>
      <c r="J80">
        <v>-124.390565</v>
      </c>
      <c r="K80" t="s">
        <v>12</v>
      </c>
      <c r="L80" t="s">
        <v>33</v>
      </c>
      <c r="M80" t="s">
        <v>13</v>
      </c>
      <c r="N80">
        <v>0</v>
      </c>
      <c r="O80">
        <v>0</v>
      </c>
      <c r="P80" t="s">
        <v>92</v>
      </c>
      <c r="Q80" t="s">
        <v>13</v>
      </c>
      <c r="R80">
        <v>8.6999999999999993</v>
      </c>
      <c r="S80" t="s">
        <v>13</v>
      </c>
      <c r="T80" t="s">
        <v>13</v>
      </c>
      <c r="U80" s="1">
        <f>Table1[[#This Row],[End Datetime]]-Table1[[#This Row],[Start Datetime]]</f>
        <v>0.68125000000145519</v>
      </c>
    </row>
    <row r="81" spans="1:21" x14ac:dyDescent="0.2">
      <c r="A81" t="s">
        <v>103</v>
      </c>
      <c r="B81" s="2">
        <v>1</v>
      </c>
      <c r="C81" s="15">
        <v>7</v>
      </c>
      <c r="D81" s="18">
        <v>44405.724999999999</v>
      </c>
      <c r="E81" s="18">
        <v>44406.431250000001</v>
      </c>
      <c r="F81" s="1">
        <v>0.72499999999999998</v>
      </c>
      <c r="G81" s="1">
        <v>0.43124999999999997</v>
      </c>
      <c r="H81" t="s">
        <v>11</v>
      </c>
      <c r="I81">
        <v>54.051721999999998</v>
      </c>
      <c r="J81">
        <v>-124.38044499999999</v>
      </c>
      <c r="K81" t="s">
        <v>12</v>
      </c>
      <c r="L81" t="s">
        <v>33</v>
      </c>
      <c r="M81" t="s">
        <v>13</v>
      </c>
      <c r="N81">
        <v>0</v>
      </c>
      <c r="O81">
        <v>0</v>
      </c>
      <c r="P81" t="s">
        <v>92</v>
      </c>
      <c r="Q81" t="s">
        <v>13</v>
      </c>
      <c r="R81">
        <v>9.6</v>
      </c>
      <c r="S81" t="s">
        <v>13</v>
      </c>
      <c r="T81" t="s">
        <v>13</v>
      </c>
      <c r="U81" s="1">
        <f>Table1[[#This Row],[End Datetime]]-Table1[[#This Row],[Start Datetime]]</f>
        <v>0.70625000000291038</v>
      </c>
    </row>
    <row r="82" spans="1:21" x14ac:dyDescent="0.2">
      <c r="A82" t="s">
        <v>104</v>
      </c>
      <c r="B82" s="2">
        <v>1</v>
      </c>
      <c r="C82" s="15">
        <v>7</v>
      </c>
      <c r="D82" s="18">
        <v>44405.729861111111</v>
      </c>
      <c r="E82" s="18">
        <v>44406.428472222222</v>
      </c>
      <c r="F82" s="1">
        <v>0.72986111111111107</v>
      </c>
      <c r="G82" s="1">
        <v>0.4284722222222222</v>
      </c>
      <c r="H82" t="s">
        <v>11</v>
      </c>
      <c r="I82">
        <v>54.052329</v>
      </c>
      <c r="J82">
        <v>-124.381063</v>
      </c>
      <c r="K82" t="s">
        <v>12</v>
      </c>
      <c r="L82" t="s">
        <v>33</v>
      </c>
      <c r="M82" t="s">
        <v>303</v>
      </c>
      <c r="N82">
        <v>2</v>
      </c>
      <c r="O82">
        <v>0</v>
      </c>
      <c r="P82" t="s">
        <v>92</v>
      </c>
      <c r="Q82" t="s">
        <v>13</v>
      </c>
      <c r="R82">
        <v>9.6</v>
      </c>
      <c r="S82" t="s">
        <v>13</v>
      </c>
      <c r="T82" t="s">
        <v>13</v>
      </c>
      <c r="U82" s="1">
        <f>Table1[[#This Row],[End Datetime]]-Table1[[#This Row],[Start Datetime]]</f>
        <v>0.69861111111094942</v>
      </c>
    </row>
    <row r="83" spans="1:21" x14ac:dyDescent="0.2">
      <c r="A83" t="s">
        <v>187</v>
      </c>
      <c r="B83" s="2">
        <v>1</v>
      </c>
      <c r="C83" s="2">
        <v>8</v>
      </c>
      <c r="D83" s="8">
        <v>44411.643750000003</v>
      </c>
      <c r="E83" s="8">
        <v>44412.388888888891</v>
      </c>
      <c r="F83" s="1">
        <v>0.64374999999999993</v>
      </c>
      <c r="G83" s="1">
        <v>0.3888888888888889</v>
      </c>
      <c r="H83" t="s">
        <v>11</v>
      </c>
      <c r="I83">
        <v>54.079979999999999</v>
      </c>
      <c r="J83">
        <v>-124.65759</v>
      </c>
      <c r="K83" t="s">
        <v>12</v>
      </c>
      <c r="L83" t="s">
        <v>33</v>
      </c>
      <c r="M83" t="s">
        <v>13</v>
      </c>
      <c r="N83" t="s">
        <v>13</v>
      </c>
      <c r="O83">
        <v>0</v>
      </c>
      <c r="P83" t="s">
        <v>188</v>
      </c>
      <c r="Q83" t="s">
        <v>13</v>
      </c>
      <c r="R83">
        <v>19.3</v>
      </c>
      <c r="S83" t="s">
        <v>13</v>
      </c>
      <c r="T83" t="s">
        <v>151</v>
      </c>
      <c r="U83" s="1">
        <f>Table1[[#This Row],[End Datetime]]-Table1[[#This Row],[Start Datetime]]</f>
        <v>0.74513888888759539</v>
      </c>
    </row>
    <row r="84" spans="1:21" x14ac:dyDescent="0.2">
      <c r="A84" t="s">
        <v>196</v>
      </c>
      <c r="B84" s="2">
        <v>1</v>
      </c>
      <c r="C84" s="21">
        <v>8</v>
      </c>
      <c r="D84" s="19">
        <v>44411.723611111112</v>
      </c>
      <c r="E84" s="8">
        <v>44412.488194444442</v>
      </c>
      <c r="F84" s="1">
        <v>0.72361111111111109</v>
      </c>
      <c r="G84" s="1">
        <v>0.48819444444444443</v>
      </c>
      <c r="H84" t="s">
        <v>11</v>
      </c>
      <c r="I84">
        <v>54.080710000000003</v>
      </c>
      <c r="J84">
        <v>-124.62388</v>
      </c>
      <c r="K84" t="s">
        <v>12</v>
      </c>
      <c r="L84" t="s">
        <v>33</v>
      </c>
      <c r="M84" t="s">
        <v>13</v>
      </c>
      <c r="N84">
        <v>0</v>
      </c>
      <c r="O84">
        <v>0</v>
      </c>
      <c r="P84" t="s">
        <v>188</v>
      </c>
      <c r="Q84" t="s">
        <v>13</v>
      </c>
      <c r="R84">
        <v>10</v>
      </c>
      <c r="S84" t="s">
        <v>13</v>
      </c>
      <c r="T84" t="s">
        <v>13</v>
      </c>
      <c r="U84" s="1">
        <f>Table1[[#This Row],[End Datetime]]-Table1[[#This Row],[Start Datetime]]</f>
        <v>0.76458333332993789</v>
      </c>
    </row>
    <row r="85" spans="1:21" x14ac:dyDescent="0.2">
      <c r="A85" t="s">
        <v>196</v>
      </c>
      <c r="B85" s="2">
        <v>1</v>
      </c>
      <c r="C85" s="2">
        <v>8</v>
      </c>
      <c r="D85" s="19">
        <v>44412.486805555556</v>
      </c>
      <c r="E85" s="19">
        <v>44413.524305555555</v>
      </c>
      <c r="F85" s="1">
        <v>0.48680555555555555</v>
      </c>
      <c r="G85" s="1">
        <v>0.52430555555555558</v>
      </c>
      <c r="H85" t="s">
        <v>11</v>
      </c>
      <c r="I85">
        <v>54.080710000000003</v>
      </c>
      <c r="J85">
        <v>-124.62388</v>
      </c>
      <c r="K85" t="s">
        <v>12</v>
      </c>
      <c r="L85" t="s">
        <v>33</v>
      </c>
      <c r="M85" t="s">
        <v>13</v>
      </c>
      <c r="N85">
        <v>0</v>
      </c>
      <c r="O85">
        <v>0</v>
      </c>
      <c r="P85" t="s">
        <v>188</v>
      </c>
      <c r="Q85" t="s">
        <v>13</v>
      </c>
      <c r="R85">
        <v>10</v>
      </c>
      <c r="S85" t="s">
        <v>13</v>
      </c>
      <c r="T85" t="s">
        <v>209</v>
      </c>
      <c r="U85" s="1">
        <f>Table1[[#This Row],[End Datetime]]-Table1[[#This Row],[Start Datetime]]</f>
        <v>1.0374999999985448</v>
      </c>
    </row>
    <row r="86" spans="1:21" x14ac:dyDescent="0.2">
      <c r="A86" t="s">
        <v>200</v>
      </c>
      <c r="B86" s="2">
        <v>1</v>
      </c>
      <c r="C86" s="2">
        <v>8</v>
      </c>
      <c r="D86" s="8">
        <v>44412.412499999999</v>
      </c>
      <c r="E86" s="8">
        <v>44413.341666666667</v>
      </c>
      <c r="F86" s="1">
        <v>0.41250000000000003</v>
      </c>
      <c r="G86" s="1">
        <v>0.34166666666666662</v>
      </c>
      <c r="H86" t="s">
        <v>11</v>
      </c>
      <c r="I86">
        <v>54.075859999999999</v>
      </c>
      <c r="J86">
        <v>-124.67473</v>
      </c>
      <c r="K86" t="s">
        <v>12</v>
      </c>
      <c r="L86" t="s">
        <v>33</v>
      </c>
      <c r="M86" t="s">
        <v>20</v>
      </c>
      <c r="N86">
        <v>1</v>
      </c>
      <c r="O86">
        <v>1</v>
      </c>
      <c r="P86" t="s">
        <v>188</v>
      </c>
      <c r="Q86" t="s">
        <v>13</v>
      </c>
      <c r="R86">
        <v>10</v>
      </c>
      <c r="S86" t="s">
        <v>13</v>
      </c>
      <c r="T86" t="s">
        <v>13</v>
      </c>
      <c r="U86" s="1">
        <f>Table1[[#This Row],[End Datetime]]-Table1[[#This Row],[Start Datetime]]</f>
        <v>0.92916666666860692</v>
      </c>
    </row>
    <row r="87" spans="1:21" x14ac:dyDescent="0.2">
      <c r="A87" t="s">
        <v>189</v>
      </c>
      <c r="B87" s="2">
        <v>1</v>
      </c>
      <c r="C87" s="2">
        <v>8</v>
      </c>
      <c r="D87" s="8">
        <v>44411.651388888888</v>
      </c>
      <c r="E87" s="8">
        <v>44412.364583333336</v>
      </c>
      <c r="F87" s="1">
        <v>0.65138888888888891</v>
      </c>
      <c r="G87" s="1">
        <v>0.36458333333333331</v>
      </c>
      <c r="H87" t="s">
        <v>11</v>
      </c>
      <c r="I87">
        <v>54.076279999999997</v>
      </c>
      <c r="J87">
        <v>-124.65213</v>
      </c>
      <c r="K87" t="s">
        <v>12</v>
      </c>
      <c r="L87" t="s">
        <v>33</v>
      </c>
      <c r="M87" t="s">
        <v>13</v>
      </c>
      <c r="N87" t="s">
        <v>13</v>
      </c>
      <c r="O87">
        <v>0</v>
      </c>
      <c r="P87" t="s">
        <v>188</v>
      </c>
      <c r="Q87" t="s">
        <v>13</v>
      </c>
      <c r="R87">
        <v>18.399999999999999</v>
      </c>
      <c r="S87" t="s">
        <v>13</v>
      </c>
      <c r="T87" t="s">
        <v>151</v>
      </c>
      <c r="U87" s="1">
        <f>Table1[[#This Row],[End Datetime]]-Table1[[#This Row],[Start Datetime]]</f>
        <v>0.71319444444816327</v>
      </c>
    </row>
    <row r="88" spans="1:21" x14ac:dyDescent="0.2">
      <c r="A88" t="s">
        <v>198</v>
      </c>
      <c r="B88" s="2">
        <v>1</v>
      </c>
      <c r="C88" s="2">
        <v>8</v>
      </c>
      <c r="D88" s="8">
        <v>44412.386111111111</v>
      </c>
      <c r="E88" s="8">
        <v>44413.336111111108</v>
      </c>
      <c r="F88" s="1">
        <v>0.38611111111111113</v>
      </c>
      <c r="G88" s="1">
        <v>0.33611111111111108</v>
      </c>
      <c r="H88" t="s">
        <v>11</v>
      </c>
      <c r="I88">
        <v>54.069789999999998</v>
      </c>
      <c r="J88">
        <v>-124.65765</v>
      </c>
      <c r="K88" t="s">
        <v>12</v>
      </c>
      <c r="L88" t="s">
        <v>33</v>
      </c>
      <c r="M88" t="s">
        <v>20</v>
      </c>
      <c r="N88">
        <v>1</v>
      </c>
      <c r="O88">
        <v>1</v>
      </c>
      <c r="P88" t="s">
        <v>188</v>
      </c>
      <c r="Q88" t="s">
        <v>13</v>
      </c>
      <c r="R88">
        <v>9.6999999999999993</v>
      </c>
      <c r="S88">
        <v>20</v>
      </c>
      <c r="T88" t="s">
        <v>199</v>
      </c>
      <c r="U88" s="1">
        <f>Table1[[#This Row],[End Datetime]]-Table1[[#This Row],[Start Datetime]]</f>
        <v>0.94999999999708962</v>
      </c>
    </row>
    <row r="89" spans="1:21" x14ac:dyDescent="0.2">
      <c r="A89" t="s">
        <v>190</v>
      </c>
      <c r="B89" s="2">
        <v>1</v>
      </c>
      <c r="C89" s="2">
        <v>8</v>
      </c>
      <c r="D89" s="8">
        <v>44411.683333333334</v>
      </c>
      <c r="E89" s="8">
        <v>44412.477083333331</v>
      </c>
      <c r="F89" s="1">
        <v>0.68333333333333324</v>
      </c>
      <c r="G89" s="1">
        <v>0.4770833333333333</v>
      </c>
      <c r="H89" t="s">
        <v>11</v>
      </c>
      <c r="I89">
        <v>54.088729999999998</v>
      </c>
      <c r="J89">
        <v>-124.63477</v>
      </c>
      <c r="K89" t="s">
        <v>12</v>
      </c>
      <c r="L89" t="s">
        <v>33</v>
      </c>
      <c r="M89" t="s">
        <v>13</v>
      </c>
      <c r="N89">
        <v>0</v>
      </c>
      <c r="O89">
        <v>0</v>
      </c>
      <c r="P89" t="s">
        <v>188</v>
      </c>
      <c r="Q89" t="s">
        <v>13</v>
      </c>
      <c r="R89">
        <v>9.6</v>
      </c>
      <c r="S89" t="s">
        <v>13</v>
      </c>
      <c r="T89" t="s">
        <v>13</v>
      </c>
      <c r="U89" s="1">
        <f>Table1[[#This Row],[End Datetime]]-Table1[[#This Row],[Start Datetime]]</f>
        <v>0.79374999999708962</v>
      </c>
    </row>
    <row r="90" spans="1:21" x14ac:dyDescent="0.2">
      <c r="A90" t="s">
        <v>190</v>
      </c>
      <c r="B90" s="2">
        <v>1</v>
      </c>
      <c r="C90" s="2">
        <v>8</v>
      </c>
      <c r="D90" s="8">
        <v>44412.478472222225</v>
      </c>
      <c r="E90" s="8">
        <v>44413.536805555559</v>
      </c>
      <c r="F90" s="1">
        <v>0.47847222222222219</v>
      </c>
      <c r="G90" s="1">
        <v>0.53680555555555554</v>
      </c>
      <c r="H90" t="s">
        <v>11</v>
      </c>
      <c r="I90">
        <v>54.088729999999998</v>
      </c>
      <c r="J90">
        <v>-124.63477</v>
      </c>
      <c r="K90" t="s">
        <v>12</v>
      </c>
      <c r="L90" t="s">
        <v>33</v>
      </c>
      <c r="M90" t="s">
        <v>303</v>
      </c>
      <c r="N90">
        <v>1</v>
      </c>
      <c r="O90">
        <v>0</v>
      </c>
      <c r="P90" t="s">
        <v>188</v>
      </c>
      <c r="Q90" t="s">
        <v>13</v>
      </c>
      <c r="R90">
        <v>9.6</v>
      </c>
      <c r="S90" t="s">
        <v>13</v>
      </c>
      <c r="T90" t="s">
        <v>206</v>
      </c>
      <c r="U90" s="1">
        <f>Table1[[#This Row],[End Datetime]]-Table1[[#This Row],[Start Datetime]]</f>
        <v>1.0583333333343035</v>
      </c>
    </row>
    <row r="91" spans="1:21" x14ac:dyDescent="0.2">
      <c r="A91" t="s">
        <v>191</v>
      </c>
      <c r="B91" s="2">
        <v>1</v>
      </c>
      <c r="C91" s="2">
        <v>8</v>
      </c>
      <c r="D91" s="8">
        <v>44411.688194444447</v>
      </c>
      <c r="E91" s="8">
        <v>44412.463888888888</v>
      </c>
      <c r="F91" s="1">
        <v>0.68819444444444444</v>
      </c>
      <c r="G91" s="1">
        <v>0.46388888888888885</v>
      </c>
      <c r="H91" t="s">
        <v>11</v>
      </c>
      <c r="I91">
        <v>54.083829999999999</v>
      </c>
      <c r="J91">
        <v>-124.634</v>
      </c>
      <c r="K91" t="s">
        <v>12</v>
      </c>
      <c r="L91" t="s">
        <v>33</v>
      </c>
      <c r="M91" t="s">
        <v>13</v>
      </c>
      <c r="N91" t="s">
        <v>13</v>
      </c>
      <c r="O91">
        <v>0</v>
      </c>
      <c r="P91" t="s">
        <v>188</v>
      </c>
      <c r="Q91" t="s">
        <v>13</v>
      </c>
      <c r="R91">
        <v>14.9</v>
      </c>
      <c r="S91" t="s">
        <v>13</v>
      </c>
      <c r="T91" t="s">
        <v>151</v>
      </c>
      <c r="U91" s="1">
        <f>Table1[[#This Row],[End Datetime]]-Table1[[#This Row],[Start Datetime]]</f>
        <v>0.77569444444088731</v>
      </c>
    </row>
    <row r="92" spans="1:21" x14ac:dyDescent="0.2">
      <c r="A92" t="s">
        <v>204</v>
      </c>
      <c r="B92" s="2">
        <v>1</v>
      </c>
      <c r="C92" s="2">
        <v>8</v>
      </c>
      <c r="D92" s="8">
        <v>44412.472222222219</v>
      </c>
      <c r="E92" s="8">
        <v>44413.529861111114</v>
      </c>
      <c r="F92" s="1">
        <v>0.47222222222222227</v>
      </c>
      <c r="G92" s="1">
        <v>0.52986111111111112</v>
      </c>
      <c r="H92" t="s">
        <v>11</v>
      </c>
      <c r="I92">
        <v>54.083829999999999</v>
      </c>
      <c r="J92">
        <v>-124.634</v>
      </c>
      <c r="K92" t="s">
        <v>12</v>
      </c>
      <c r="L92" t="s">
        <v>33</v>
      </c>
      <c r="M92" t="s">
        <v>20</v>
      </c>
      <c r="N92">
        <v>1</v>
      </c>
      <c r="O92">
        <v>1</v>
      </c>
      <c r="P92" t="s">
        <v>188</v>
      </c>
      <c r="Q92" t="s">
        <v>13</v>
      </c>
      <c r="R92">
        <v>9.6999999999999993</v>
      </c>
      <c r="S92" t="s">
        <v>13</v>
      </c>
      <c r="T92" t="s">
        <v>13</v>
      </c>
      <c r="U92" s="1">
        <f>Table1[[#This Row],[End Datetime]]-Table1[[#This Row],[Start Datetime]]</f>
        <v>1.0576388888948713</v>
      </c>
    </row>
    <row r="93" spans="1:21" x14ac:dyDescent="0.2">
      <c r="A93" t="s">
        <v>192</v>
      </c>
      <c r="B93" s="2">
        <v>1</v>
      </c>
      <c r="C93" s="2">
        <v>8</v>
      </c>
      <c r="D93" s="8">
        <v>44411.702777777777</v>
      </c>
      <c r="E93" s="8">
        <v>44412.436805555553</v>
      </c>
      <c r="F93" s="1">
        <v>0.70277777777777783</v>
      </c>
      <c r="G93" s="1">
        <v>0.4368055555555555</v>
      </c>
      <c r="H93" t="s">
        <v>11</v>
      </c>
      <c r="I93">
        <v>54.077379999999998</v>
      </c>
      <c r="J93">
        <v>-124.64523</v>
      </c>
      <c r="K93" t="s">
        <v>12</v>
      </c>
      <c r="L93" t="s">
        <v>33</v>
      </c>
      <c r="M93" t="s">
        <v>13</v>
      </c>
      <c r="N93" t="s">
        <v>13</v>
      </c>
      <c r="O93">
        <v>0</v>
      </c>
      <c r="P93" t="s">
        <v>188</v>
      </c>
      <c r="Q93" t="s">
        <v>13</v>
      </c>
      <c r="R93">
        <v>17.8</v>
      </c>
      <c r="S93" t="s">
        <v>13</v>
      </c>
      <c r="T93" t="s">
        <v>151</v>
      </c>
      <c r="U93" s="1">
        <f>Table1[[#This Row],[End Datetime]]-Table1[[#This Row],[Start Datetime]]</f>
        <v>0.73402777777664596</v>
      </c>
    </row>
    <row r="94" spans="1:21" x14ac:dyDescent="0.2">
      <c r="A94" t="s">
        <v>203</v>
      </c>
      <c r="B94" s="2">
        <v>1</v>
      </c>
      <c r="C94" s="2">
        <v>8</v>
      </c>
      <c r="D94" s="8">
        <v>44412.458333333336</v>
      </c>
      <c r="E94" s="8">
        <v>44413.527083333334</v>
      </c>
      <c r="F94" s="1">
        <v>0.45833333333333331</v>
      </c>
      <c r="G94" s="1">
        <v>0.52708333333333335</v>
      </c>
      <c r="H94" t="s">
        <v>11</v>
      </c>
      <c r="I94">
        <v>54.081890000000001</v>
      </c>
      <c r="J94">
        <v>-124.62518</v>
      </c>
      <c r="K94" t="s">
        <v>12</v>
      </c>
      <c r="L94" t="s">
        <v>33</v>
      </c>
      <c r="M94" t="s">
        <v>13</v>
      </c>
      <c r="N94">
        <v>0</v>
      </c>
      <c r="O94">
        <v>0</v>
      </c>
      <c r="P94" t="s">
        <v>188</v>
      </c>
      <c r="Q94" t="s">
        <v>13</v>
      </c>
      <c r="R94">
        <v>10</v>
      </c>
      <c r="S94" t="s">
        <v>13</v>
      </c>
      <c r="T94" t="s">
        <v>13</v>
      </c>
      <c r="U94" s="1">
        <f>Table1[[#This Row],[End Datetime]]-Table1[[#This Row],[Start Datetime]]</f>
        <v>1.0687499999985448</v>
      </c>
    </row>
    <row r="95" spans="1:21" x14ac:dyDescent="0.2">
      <c r="A95" t="s">
        <v>193</v>
      </c>
      <c r="B95" s="2">
        <v>1</v>
      </c>
      <c r="C95" s="2">
        <v>8</v>
      </c>
      <c r="D95" s="8">
        <v>44411.705555555556</v>
      </c>
      <c r="E95" s="8">
        <v>44412.416666666664</v>
      </c>
      <c r="F95" s="1">
        <v>0.7055555555555556</v>
      </c>
      <c r="G95" s="1">
        <v>0.41666666666666669</v>
      </c>
      <c r="H95" t="s">
        <v>11</v>
      </c>
      <c r="I95">
        <v>54.078620000000001</v>
      </c>
      <c r="J95">
        <v>-124.64785999999999</v>
      </c>
      <c r="K95" t="s">
        <v>12</v>
      </c>
      <c r="L95" t="s">
        <v>33</v>
      </c>
      <c r="M95" t="s">
        <v>13</v>
      </c>
      <c r="N95" t="s">
        <v>13</v>
      </c>
      <c r="O95">
        <v>0</v>
      </c>
      <c r="P95" t="s">
        <v>188</v>
      </c>
      <c r="Q95" t="s">
        <v>13</v>
      </c>
      <c r="R95">
        <v>18.5</v>
      </c>
      <c r="S95" t="s">
        <v>13</v>
      </c>
      <c r="T95" t="s">
        <v>151</v>
      </c>
      <c r="U95" s="1">
        <f>Table1[[#This Row],[End Datetime]]-Table1[[#This Row],[Start Datetime]]</f>
        <v>0.71111111110803904</v>
      </c>
    </row>
    <row r="96" spans="1:21" x14ac:dyDescent="0.2">
      <c r="A96" t="s">
        <v>201</v>
      </c>
      <c r="B96" s="2">
        <v>1</v>
      </c>
      <c r="C96" s="2">
        <v>8</v>
      </c>
      <c r="D96" s="8">
        <v>44412.434027777781</v>
      </c>
      <c r="E96" s="8">
        <v>44413.324305555558</v>
      </c>
      <c r="F96" s="1">
        <v>0.43402777777777773</v>
      </c>
      <c r="G96" s="1">
        <v>0.32430555555555557</v>
      </c>
      <c r="H96" t="s">
        <v>11</v>
      </c>
      <c r="I96">
        <v>54.070189999999997</v>
      </c>
      <c r="J96">
        <v>-124.65306</v>
      </c>
      <c r="K96" t="s">
        <v>12</v>
      </c>
      <c r="L96" t="s">
        <v>33</v>
      </c>
      <c r="M96" t="s">
        <v>20</v>
      </c>
      <c r="N96">
        <v>1</v>
      </c>
      <c r="O96">
        <v>1</v>
      </c>
      <c r="P96" t="s">
        <v>188</v>
      </c>
      <c r="Q96" t="s">
        <v>13</v>
      </c>
      <c r="R96">
        <v>9.3000000000000007</v>
      </c>
      <c r="S96">
        <v>20</v>
      </c>
      <c r="T96" t="s">
        <v>202</v>
      </c>
      <c r="U96" s="1">
        <f>Table1[[#This Row],[End Datetime]]-Table1[[#This Row],[Start Datetime]]</f>
        <v>0.89027777777664596</v>
      </c>
    </row>
    <row r="97" spans="1:21" x14ac:dyDescent="0.2">
      <c r="A97" t="s">
        <v>194</v>
      </c>
      <c r="B97" s="2">
        <v>1</v>
      </c>
      <c r="C97" s="21">
        <v>8</v>
      </c>
      <c r="D97" s="19">
        <v>44411.712500000001</v>
      </c>
      <c r="E97" s="8">
        <v>44412.48333333333</v>
      </c>
      <c r="F97" s="1">
        <v>0.71250000000000002</v>
      </c>
      <c r="G97" s="1">
        <v>0.48333333333333334</v>
      </c>
      <c r="H97" t="s">
        <v>11</v>
      </c>
      <c r="I97">
        <v>54.094540000000002</v>
      </c>
      <c r="J97">
        <v>-124.64363</v>
      </c>
      <c r="K97" t="s">
        <v>12</v>
      </c>
      <c r="L97" t="s">
        <v>33</v>
      </c>
      <c r="M97" t="s">
        <v>303</v>
      </c>
      <c r="N97">
        <v>2</v>
      </c>
      <c r="O97">
        <v>0</v>
      </c>
      <c r="P97" t="s">
        <v>188</v>
      </c>
      <c r="Q97" t="s">
        <v>13</v>
      </c>
      <c r="R97">
        <v>10</v>
      </c>
      <c r="S97" t="s">
        <v>13</v>
      </c>
      <c r="T97" t="s">
        <v>13</v>
      </c>
      <c r="U97" s="1">
        <f>Table1[[#This Row],[End Datetime]]-Table1[[#This Row],[Start Datetime]]</f>
        <v>0.77083333332848269</v>
      </c>
    </row>
    <row r="98" spans="1:21" x14ac:dyDescent="0.2">
      <c r="A98" t="s">
        <v>194</v>
      </c>
      <c r="B98" s="2">
        <v>1</v>
      </c>
      <c r="C98" s="2">
        <v>8</v>
      </c>
      <c r="D98" s="19">
        <v>44412.48333333333</v>
      </c>
      <c r="E98" s="19">
        <v>44413.542361111111</v>
      </c>
      <c r="F98" s="1">
        <v>0.48333333333333334</v>
      </c>
      <c r="G98" s="1">
        <v>0.54236111111111118</v>
      </c>
      <c r="H98" t="s">
        <v>11</v>
      </c>
      <c r="I98">
        <v>54.094540000000002</v>
      </c>
      <c r="J98">
        <v>-124.64363</v>
      </c>
      <c r="K98" t="s">
        <v>12</v>
      </c>
      <c r="L98" t="s">
        <v>33</v>
      </c>
      <c r="M98" t="s">
        <v>13</v>
      </c>
      <c r="N98">
        <v>0</v>
      </c>
      <c r="O98">
        <v>0</v>
      </c>
      <c r="P98" t="s">
        <v>188</v>
      </c>
      <c r="Q98" t="s">
        <v>13</v>
      </c>
      <c r="R98">
        <v>10</v>
      </c>
      <c r="S98" t="s">
        <v>13</v>
      </c>
      <c r="T98" t="s">
        <v>208</v>
      </c>
      <c r="U98" s="1">
        <f>Table1[[#This Row],[End Datetime]]-Table1[[#This Row],[Start Datetime]]</f>
        <v>1.0590277777810115</v>
      </c>
    </row>
    <row r="99" spans="1:21" x14ac:dyDescent="0.2">
      <c r="A99" t="s">
        <v>195</v>
      </c>
      <c r="B99" s="2">
        <v>1</v>
      </c>
      <c r="C99" s="21">
        <v>8</v>
      </c>
      <c r="D99" s="19">
        <v>44411.71597222222</v>
      </c>
      <c r="E99" s="8">
        <v>44412.479861111111</v>
      </c>
      <c r="F99" s="1">
        <v>0.71597222222222223</v>
      </c>
      <c r="G99" s="1">
        <v>0.47986111111111113</v>
      </c>
      <c r="H99" t="s">
        <v>11</v>
      </c>
      <c r="I99">
        <v>54.09196</v>
      </c>
      <c r="J99">
        <v>-124.63544</v>
      </c>
      <c r="K99" t="s">
        <v>12</v>
      </c>
      <c r="L99" t="s">
        <v>33</v>
      </c>
      <c r="M99" t="s">
        <v>303</v>
      </c>
      <c r="N99">
        <v>1</v>
      </c>
      <c r="O99">
        <v>0</v>
      </c>
      <c r="P99" t="s">
        <v>188</v>
      </c>
      <c r="Q99" t="s">
        <v>13</v>
      </c>
      <c r="R99">
        <v>9.5</v>
      </c>
      <c r="S99" t="s">
        <v>13</v>
      </c>
      <c r="T99" t="s">
        <v>13</v>
      </c>
      <c r="U99" s="1">
        <f>Table1[[#This Row],[End Datetime]]-Table1[[#This Row],[Start Datetime]]</f>
        <v>0.76388888889050577</v>
      </c>
    </row>
    <row r="100" spans="1:21" x14ac:dyDescent="0.2">
      <c r="A100" t="s">
        <v>195</v>
      </c>
      <c r="B100" s="2">
        <v>1</v>
      </c>
      <c r="C100" s="2">
        <v>8</v>
      </c>
      <c r="D100" s="19">
        <v>44412.481249999997</v>
      </c>
      <c r="E100" s="19">
        <v>44413.539583333331</v>
      </c>
      <c r="F100" s="1">
        <v>0.48125000000000001</v>
      </c>
      <c r="G100" s="1">
        <v>0.5395833333333333</v>
      </c>
      <c r="H100" t="s">
        <v>11</v>
      </c>
      <c r="I100">
        <v>54.09196</v>
      </c>
      <c r="J100">
        <v>-124.63544</v>
      </c>
      <c r="K100" t="s">
        <v>12</v>
      </c>
      <c r="L100" t="s">
        <v>33</v>
      </c>
      <c r="M100" t="s">
        <v>13</v>
      </c>
      <c r="N100">
        <v>0</v>
      </c>
      <c r="O100">
        <v>0</v>
      </c>
      <c r="P100" t="s">
        <v>188</v>
      </c>
      <c r="Q100" t="s">
        <v>13</v>
      </c>
      <c r="R100">
        <v>9.5</v>
      </c>
      <c r="S100" t="s">
        <v>13</v>
      </c>
      <c r="T100" t="s">
        <v>207</v>
      </c>
      <c r="U100" s="1">
        <f>Table1[[#This Row],[End Datetime]]-Table1[[#This Row],[Start Datetime]]</f>
        <v>1.0583333333343035</v>
      </c>
    </row>
    <row r="101" spans="1:21" x14ac:dyDescent="0.2">
      <c r="A101" t="s">
        <v>197</v>
      </c>
      <c r="B101" s="2">
        <v>1</v>
      </c>
      <c r="C101" s="21">
        <v>8</v>
      </c>
      <c r="D101" s="19">
        <v>44411.720138888886</v>
      </c>
      <c r="E101" s="8">
        <v>44412.474999999999</v>
      </c>
      <c r="F101" s="1">
        <v>0.72013888888888899</v>
      </c>
      <c r="G101" s="1">
        <v>0.47500000000000003</v>
      </c>
      <c r="H101" t="s">
        <v>11</v>
      </c>
      <c r="I101">
        <v>54.087670000000003</v>
      </c>
      <c r="J101">
        <v>-124.63336</v>
      </c>
      <c r="K101" t="s">
        <v>12</v>
      </c>
      <c r="L101" t="s">
        <v>33</v>
      </c>
      <c r="M101" t="s">
        <v>13</v>
      </c>
      <c r="N101">
        <v>0</v>
      </c>
      <c r="O101">
        <v>0</v>
      </c>
      <c r="P101" t="s">
        <v>188</v>
      </c>
      <c r="Q101" t="s">
        <v>13</v>
      </c>
      <c r="R101">
        <v>10</v>
      </c>
      <c r="S101" t="s">
        <v>13</v>
      </c>
      <c r="T101" t="s">
        <v>13</v>
      </c>
      <c r="U101" s="1">
        <f>Table1[[#This Row],[End Datetime]]-Table1[[#This Row],[Start Datetime]]</f>
        <v>0.75486111111240461</v>
      </c>
    </row>
    <row r="102" spans="1:21" x14ac:dyDescent="0.2">
      <c r="A102" t="s">
        <v>197</v>
      </c>
      <c r="B102" s="2">
        <v>1</v>
      </c>
      <c r="C102" s="2">
        <v>8</v>
      </c>
      <c r="D102" s="8">
        <v>44412.476388888892</v>
      </c>
      <c r="E102" s="8">
        <v>44413.534722222219</v>
      </c>
      <c r="F102" s="1">
        <v>0.47638888888888892</v>
      </c>
      <c r="G102" s="1">
        <v>0.53472222222222221</v>
      </c>
      <c r="H102" t="s">
        <v>11</v>
      </c>
      <c r="I102">
        <v>54.087670000000003</v>
      </c>
      <c r="J102">
        <v>-124.63336</v>
      </c>
      <c r="K102" t="s">
        <v>12</v>
      </c>
      <c r="L102" t="s">
        <v>33</v>
      </c>
      <c r="M102" t="s">
        <v>303</v>
      </c>
      <c r="N102">
        <v>2</v>
      </c>
      <c r="O102">
        <v>0</v>
      </c>
      <c r="P102" t="s">
        <v>188</v>
      </c>
      <c r="Q102" t="s">
        <v>13</v>
      </c>
      <c r="R102">
        <v>10</v>
      </c>
      <c r="S102" t="s">
        <v>13</v>
      </c>
      <c r="T102" t="s">
        <v>205</v>
      </c>
      <c r="U102" s="1">
        <f>Table1[[#This Row],[End Datetime]]-Table1[[#This Row],[Start Datetime]]</f>
        <v>1.0583333333270275</v>
      </c>
    </row>
    <row r="103" spans="1:21" x14ac:dyDescent="0.2">
      <c r="A103" s="5" t="s">
        <v>119</v>
      </c>
      <c r="B103" s="4">
        <v>2</v>
      </c>
      <c r="C103" s="17">
        <v>7</v>
      </c>
      <c r="D103" s="20">
        <v>44399.447916666664</v>
      </c>
      <c r="E103" s="20" t="s">
        <v>13</v>
      </c>
      <c r="F103" s="6">
        <v>0.44791666666666669</v>
      </c>
      <c r="G103" s="5" t="s">
        <v>13</v>
      </c>
      <c r="H103" s="5" t="s">
        <v>11</v>
      </c>
      <c r="I103" s="5">
        <v>54.062137999999997</v>
      </c>
      <c r="J103" s="5">
        <v>-124.40521099999999</v>
      </c>
      <c r="K103" s="5" t="s">
        <v>12</v>
      </c>
      <c r="L103" s="5" t="s">
        <v>33</v>
      </c>
      <c r="M103" s="5" t="s">
        <v>13</v>
      </c>
      <c r="N103" s="5" t="s">
        <v>13</v>
      </c>
      <c r="O103" s="5">
        <v>0</v>
      </c>
      <c r="P103" s="5" t="s">
        <v>120</v>
      </c>
      <c r="Q103" s="5" t="s">
        <v>13</v>
      </c>
      <c r="R103" s="5" t="s">
        <v>28</v>
      </c>
      <c r="S103" s="5" t="s">
        <v>13</v>
      </c>
      <c r="T103" s="5" t="s">
        <v>62</v>
      </c>
      <c r="U103" s="1" t="e">
        <f>Table1[[#This Row],[End Datetime]]-Table1[[#This Row],[Start Datetime]]</f>
        <v>#VALUE!</v>
      </c>
    </row>
    <row r="104" spans="1:21" x14ac:dyDescent="0.2">
      <c r="A104" t="s">
        <v>111</v>
      </c>
      <c r="B104" s="2">
        <v>2</v>
      </c>
      <c r="C104" s="2">
        <v>7</v>
      </c>
      <c r="D104" s="8">
        <v>44399.438888888886</v>
      </c>
      <c r="E104" s="8">
        <v>44400.479166666664</v>
      </c>
      <c r="F104" s="1">
        <v>0.43888888888888888</v>
      </c>
      <c r="G104" s="1">
        <v>0.47916666666666669</v>
      </c>
      <c r="H104" t="s">
        <v>11</v>
      </c>
      <c r="I104">
        <v>54.062123</v>
      </c>
      <c r="J104">
        <v>-124.420103</v>
      </c>
      <c r="K104" t="s">
        <v>12</v>
      </c>
      <c r="L104" t="s">
        <v>33</v>
      </c>
      <c r="M104" t="s">
        <v>13</v>
      </c>
      <c r="N104">
        <v>0</v>
      </c>
      <c r="O104">
        <v>0</v>
      </c>
      <c r="P104" t="s">
        <v>112</v>
      </c>
      <c r="Q104" t="s">
        <v>13</v>
      </c>
      <c r="R104">
        <v>8.8000000000000007</v>
      </c>
      <c r="S104" t="s">
        <v>13</v>
      </c>
      <c r="T104" t="s">
        <v>13</v>
      </c>
      <c r="U104" s="1">
        <f>Table1[[#This Row],[End Datetime]]-Table1[[#This Row],[Start Datetime]]</f>
        <v>1.0402777777781012</v>
      </c>
    </row>
    <row r="105" spans="1:21" x14ac:dyDescent="0.2">
      <c r="A105" t="s">
        <v>111</v>
      </c>
      <c r="B105" s="2">
        <v>2</v>
      </c>
      <c r="C105" s="2">
        <v>7</v>
      </c>
      <c r="D105" s="18">
        <v>44400.48333333333</v>
      </c>
      <c r="E105" s="18">
        <v>44401.4375</v>
      </c>
      <c r="F105" s="1">
        <v>0.48333333333333334</v>
      </c>
      <c r="G105" s="1">
        <v>0.4375</v>
      </c>
      <c r="H105" t="s">
        <v>11</v>
      </c>
      <c r="I105">
        <v>54.062123</v>
      </c>
      <c r="J105">
        <v>-124.420103</v>
      </c>
      <c r="K105" t="s">
        <v>12</v>
      </c>
      <c r="L105" t="s">
        <v>33</v>
      </c>
      <c r="M105" t="s">
        <v>13</v>
      </c>
      <c r="N105">
        <v>0</v>
      </c>
      <c r="O105">
        <v>0</v>
      </c>
      <c r="P105" t="s">
        <v>116</v>
      </c>
      <c r="Q105" t="s">
        <v>13</v>
      </c>
      <c r="R105">
        <v>8.8000000000000007</v>
      </c>
      <c r="S105" t="s">
        <v>13</v>
      </c>
      <c r="T105" t="s">
        <v>117</v>
      </c>
      <c r="U105" s="1">
        <f>Table1[[#This Row],[End Datetime]]-Table1[[#This Row],[Start Datetime]]</f>
        <v>0.95416666667006211</v>
      </c>
    </row>
    <row r="106" spans="1:21" x14ac:dyDescent="0.2">
      <c r="A106" t="s">
        <v>108</v>
      </c>
      <c r="B106" s="2">
        <v>2</v>
      </c>
      <c r="C106" s="2">
        <v>7</v>
      </c>
      <c r="D106" s="8">
        <v>44399.425694444442</v>
      </c>
      <c r="E106" s="8">
        <v>44400.470138888886</v>
      </c>
      <c r="F106" s="1">
        <v>0.42569444444444443</v>
      </c>
      <c r="G106" s="1">
        <v>0.47013888888888888</v>
      </c>
      <c r="H106" t="s">
        <v>11</v>
      </c>
      <c r="I106">
        <v>54.060574000000003</v>
      </c>
      <c r="J106">
        <v>-124.430435</v>
      </c>
      <c r="K106" t="s">
        <v>12</v>
      </c>
      <c r="L106" t="s">
        <v>33</v>
      </c>
      <c r="M106" t="s">
        <v>303</v>
      </c>
      <c r="N106">
        <v>1</v>
      </c>
      <c r="O106">
        <v>0</v>
      </c>
      <c r="P106" t="s">
        <v>15</v>
      </c>
      <c r="Q106" t="s">
        <v>13</v>
      </c>
      <c r="R106">
        <v>8.9</v>
      </c>
      <c r="S106" t="s">
        <v>13</v>
      </c>
      <c r="T106" t="s">
        <v>13</v>
      </c>
      <c r="U106" s="1">
        <f>Table1[[#This Row],[End Datetime]]-Table1[[#This Row],[Start Datetime]]</f>
        <v>1.0444444444437977</v>
      </c>
    </row>
    <row r="107" spans="1:21" x14ac:dyDescent="0.2">
      <c r="A107" t="s">
        <v>108</v>
      </c>
      <c r="B107" s="2">
        <v>2</v>
      </c>
      <c r="C107" s="15">
        <v>7</v>
      </c>
      <c r="D107" s="18">
        <v>44400.47152777778</v>
      </c>
      <c r="E107" s="18">
        <v>44401.427777777775</v>
      </c>
      <c r="F107" s="1">
        <v>0.47152777777777777</v>
      </c>
      <c r="G107" s="1">
        <v>0.42777777777777781</v>
      </c>
      <c r="H107" t="s">
        <v>11</v>
      </c>
      <c r="I107">
        <v>54.060574000000003</v>
      </c>
      <c r="J107">
        <v>-124.430435</v>
      </c>
      <c r="K107" t="s">
        <v>12</v>
      </c>
      <c r="L107" t="s">
        <v>33</v>
      </c>
      <c r="M107" t="s">
        <v>303</v>
      </c>
      <c r="N107">
        <v>2</v>
      </c>
      <c r="O107">
        <v>0</v>
      </c>
      <c r="P107" t="s">
        <v>116</v>
      </c>
      <c r="Q107" t="s">
        <v>13</v>
      </c>
      <c r="R107">
        <v>8.9</v>
      </c>
      <c r="S107" t="s">
        <v>13</v>
      </c>
      <c r="T107" t="s">
        <v>117</v>
      </c>
      <c r="U107" s="1">
        <f>Table1[[#This Row],[End Datetime]]-Table1[[#This Row],[Start Datetime]]</f>
        <v>0.95624999999563443</v>
      </c>
    </row>
    <row r="108" spans="1:21" x14ac:dyDescent="0.2">
      <c r="A108" t="s">
        <v>106</v>
      </c>
      <c r="B108" s="2">
        <v>2</v>
      </c>
      <c r="C108" s="2">
        <v>7</v>
      </c>
      <c r="D108" s="8">
        <v>44399.414583333331</v>
      </c>
      <c r="E108" s="8">
        <v>44400.456944444442</v>
      </c>
      <c r="F108" s="1">
        <v>0.4145833333333333</v>
      </c>
      <c r="G108" s="1">
        <v>0.45694444444444443</v>
      </c>
      <c r="H108" t="s">
        <v>11</v>
      </c>
      <c r="I108">
        <v>54.051668999999997</v>
      </c>
      <c r="J108">
        <v>-124.43597200000001</v>
      </c>
      <c r="K108" t="s">
        <v>12</v>
      </c>
      <c r="L108" t="s">
        <v>33</v>
      </c>
      <c r="M108" t="s">
        <v>13</v>
      </c>
      <c r="N108">
        <v>0</v>
      </c>
      <c r="O108">
        <v>0</v>
      </c>
      <c r="P108" t="s">
        <v>15</v>
      </c>
      <c r="Q108" t="s">
        <v>13</v>
      </c>
      <c r="R108">
        <v>8.9</v>
      </c>
      <c r="S108" t="s">
        <v>13</v>
      </c>
      <c r="T108" t="s">
        <v>13</v>
      </c>
      <c r="U108" s="1">
        <f>Table1[[#This Row],[End Datetime]]-Table1[[#This Row],[Start Datetime]]</f>
        <v>1.0423611111109494</v>
      </c>
    </row>
    <row r="109" spans="1:21" x14ac:dyDescent="0.2">
      <c r="A109" t="s">
        <v>106</v>
      </c>
      <c r="B109" s="2">
        <v>2</v>
      </c>
      <c r="C109" s="15">
        <v>7</v>
      </c>
      <c r="D109" s="18">
        <v>44400.460416666669</v>
      </c>
      <c r="E109" s="18">
        <v>44401.418055555558</v>
      </c>
      <c r="F109" s="1">
        <v>0.4604166666666667</v>
      </c>
      <c r="G109" s="1">
        <v>0.41805555555555557</v>
      </c>
      <c r="H109" t="s">
        <v>11</v>
      </c>
      <c r="I109">
        <v>54.051668999999997</v>
      </c>
      <c r="J109">
        <v>-124.43597200000001</v>
      </c>
      <c r="K109" t="s">
        <v>12</v>
      </c>
      <c r="L109" t="s">
        <v>33</v>
      </c>
      <c r="M109" t="s">
        <v>13</v>
      </c>
      <c r="N109">
        <v>0</v>
      </c>
      <c r="O109">
        <v>0</v>
      </c>
      <c r="P109" t="s">
        <v>116</v>
      </c>
      <c r="Q109" t="s">
        <v>13</v>
      </c>
      <c r="R109">
        <v>8.9</v>
      </c>
      <c r="S109" t="s">
        <v>13</v>
      </c>
      <c r="T109" t="s">
        <v>117</v>
      </c>
      <c r="U109" s="1">
        <f>Table1[[#This Row],[End Datetime]]-Table1[[#This Row],[Start Datetime]]</f>
        <v>0.95763888888905058</v>
      </c>
    </row>
    <row r="110" spans="1:21" x14ac:dyDescent="0.2">
      <c r="A110" t="s">
        <v>114</v>
      </c>
      <c r="B110" s="2">
        <v>2</v>
      </c>
      <c r="C110" s="2">
        <v>7</v>
      </c>
      <c r="D110" s="8">
        <v>44399.407638888886</v>
      </c>
      <c r="E110" s="8">
        <v>44400.45208333333</v>
      </c>
      <c r="F110" s="1">
        <v>0.40763888888888888</v>
      </c>
      <c r="G110" s="1">
        <v>0.45208333333333334</v>
      </c>
      <c r="H110" t="s">
        <v>11</v>
      </c>
      <c r="I110">
        <v>54.054927999999997</v>
      </c>
      <c r="J110">
        <v>-124.432633</v>
      </c>
      <c r="K110" t="s">
        <v>12</v>
      </c>
      <c r="L110" t="s">
        <v>33</v>
      </c>
      <c r="M110" t="s">
        <v>303</v>
      </c>
      <c r="N110">
        <v>2</v>
      </c>
      <c r="O110">
        <v>0</v>
      </c>
      <c r="P110" t="s">
        <v>15</v>
      </c>
      <c r="Q110" t="s">
        <v>13</v>
      </c>
      <c r="R110">
        <v>8.6</v>
      </c>
      <c r="S110" t="s">
        <v>13</v>
      </c>
      <c r="T110" t="s">
        <v>13</v>
      </c>
      <c r="U110" s="1">
        <f>Table1[[#This Row],[End Datetime]]-Table1[[#This Row],[Start Datetime]]</f>
        <v>1.0444444444437977</v>
      </c>
    </row>
    <row r="111" spans="1:21" x14ac:dyDescent="0.2">
      <c r="A111" t="s">
        <v>114</v>
      </c>
      <c r="B111" s="2">
        <v>2</v>
      </c>
      <c r="C111" s="15">
        <v>7</v>
      </c>
      <c r="D111" s="18">
        <v>44400.45416666667</v>
      </c>
      <c r="E111" s="18">
        <v>44401.414583333331</v>
      </c>
      <c r="F111" s="1">
        <v>0.45416666666666666</v>
      </c>
      <c r="G111" s="1">
        <v>0.4145833333333333</v>
      </c>
      <c r="H111" t="s">
        <v>11</v>
      </c>
      <c r="I111">
        <v>54.054927999999997</v>
      </c>
      <c r="J111">
        <v>-124.432633</v>
      </c>
      <c r="K111" t="s">
        <v>12</v>
      </c>
      <c r="L111" t="s">
        <v>33</v>
      </c>
      <c r="M111" t="s">
        <v>13</v>
      </c>
      <c r="N111">
        <v>0</v>
      </c>
      <c r="O111">
        <v>0</v>
      </c>
      <c r="P111" t="s">
        <v>15</v>
      </c>
      <c r="Q111" t="s">
        <v>13</v>
      </c>
      <c r="R111">
        <v>8.6</v>
      </c>
      <c r="S111" t="s">
        <v>13</v>
      </c>
      <c r="T111" t="s">
        <v>115</v>
      </c>
      <c r="U111" s="1">
        <f>Table1[[#This Row],[End Datetime]]-Table1[[#This Row],[Start Datetime]]</f>
        <v>0.96041666666133096</v>
      </c>
    </row>
    <row r="112" spans="1:21" x14ac:dyDescent="0.2">
      <c r="A112" t="s">
        <v>113</v>
      </c>
      <c r="B112" s="2">
        <v>2</v>
      </c>
      <c r="C112" s="15">
        <v>7</v>
      </c>
      <c r="D112" s="18">
        <v>44399.443055555559</v>
      </c>
      <c r="E112" s="18">
        <v>44400.486111111109</v>
      </c>
      <c r="F112" s="1">
        <v>0.44305555555555554</v>
      </c>
      <c r="G112" s="1">
        <v>0.4861111111111111</v>
      </c>
      <c r="H112" t="s">
        <v>11</v>
      </c>
      <c r="I112">
        <v>54.063119999999998</v>
      </c>
      <c r="J112">
        <v>-124.41394200000001</v>
      </c>
      <c r="K112" t="s">
        <v>12</v>
      </c>
      <c r="L112" t="s">
        <v>33</v>
      </c>
      <c r="M112" t="s">
        <v>303</v>
      </c>
      <c r="N112">
        <v>1</v>
      </c>
      <c r="O112">
        <v>0</v>
      </c>
      <c r="P112" t="s">
        <v>64</v>
      </c>
      <c r="Q112" t="s">
        <v>13</v>
      </c>
      <c r="R112">
        <v>7.5</v>
      </c>
      <c r="S112" t="s">
        <v>13</v>
      </c>
      <c r="T112" t="s">
        <v>13</v>
      </c>
      <c r="U112" s="1">
        <f>Table1[[#This Row],[End Datetime]]-Table1[[#This Row],[Start Datetime]]</f>
        <v>1.0430555555503815</v>
      </c>
    </row>
    <row r="113" spans="1:21" x14ac:dyDescent="0.2">
      <c r="A113" t="s">
        <v>113</v>
      </c>
      <c r="B113" s="2">
        <v>2</v>
      </c>
      <c r="C113" s="2">
        <v>7</v>
      </c>
      <c r="D113" s="18">
        <v>44400.486805555556</v>
      </c>
      <c r="E113" s="18">
        <v>44401.443749999999</v>
      </c>
      <c r="F113" s="1">
        <v>0.48680555555555555</v>
      </c>
      <c r="G113" s="1">
        <v>0.44375000000000003</v>
      </c>
      <c r="H113" t="s">
        <v>11</v>
      </c>
      <c r="I113">
        <v>54.063110000000002</v>
      </c>
      <c r="J113">
        <v>-124.413938</v>
      </c>
      <c r="K113" t="s">
        <v>12</v>
      </c>
      <c r="L113" t="s">
        <v>33</v>
      </c>
      <c r="M113" t="s">
        <v>13</v>
      </c>
      <c r="N113">
        <v>0</v>
      </c>
      <c r="O113">
        <v>0</v>
      </c>
      <c r="P113" t="s">
        <v>118</v>
      </c>
      <c r="Q113" t="s">
        <v>13</v>
      </c>
      <c r="R113">
        <v>7.5</v>
      </c>
      <c r="S113" t="s">
        <v>13</v>
      </c>
      <c r="T113" t="s">
        <v>117</v>
      </c>
      <c r="U113" s="1">
        <f>Table1[[#This Row],[End Datetime]]-Table1[[#This Row],[Start Datetime]]</f>
        <v>0.9569444444423425</v>
      </c>
    </row>
    <row r="114" spans="1:21" x14ac:dyDescent="0.2">
      <c r="A114" t="s">
        <v>109</v>
      </c>
      <c r="B114" s="2">
        <v>2</v>
      </c>
      <c r="C114" s="2">
        <v>7</v>
      </c>
      <c r="D114" s="8">
        <v>44399.430555555555</v>
      </c>
      <c r="E114" s="8">
        <v>44400.474999999999</v>
      </c>
      <c r="F114" s="1">
        <v>0.43055555555555558</v>
      </c>
      <c r="G114" s="1">
        <v>0.47500000000000003</v>
      </c>
      <c r="H114" t="s">
        <v>11</v>
      </c>
      <c r="I114">
        <v>54.061276999999997</v>
      </c>
      <c r="J114">
        <v>-124.42237900000001</v>
      </c>
      <c r="K114" t="s">
        <v>12</v>
      </c>
      <c r="L114" t="s">
        <v>33</v>
      </c>
      <c r="M114" t="s">
        <v>13</v>
      </c>
      <c r="N114">
        <v>0</v>
      </c>
      <c r="O114">
        <v>0</v>
      </c>
      <c r="P114" t="s">
        <v>110</v>
      </c>
      <c r="Q114" t="s">
        <v>13</v>
      </c>
      <c r="R114">
        <v>7.3</v>
      </c>
      <c r="S114" t="s">
        <v>13</v>
      </c>
      <c r="T114" t="s">
        <v>13</v>
      </c>
      <c r="U114" s="1">
        <f>Table1[[#This Row],[End Datetime]]-Table1[[#This Row],[Start Datetime]]</f>
        <v>1.0444444444437977</v>
      </c>
    </row>
    <row r="115" spans="1:21" x14ac:dyDescent="0.2">
      <c r="A115" t="s">
        <v>109</v>
      </c>
      <c r="B115" s="2">
        <v>2</v>
      </c>
      <c r="C115" s="15">
        <v>7</v>
      </c>
      <c r="D115" s="18">
        <v>44400.477083333331</v>
      </c>
      <c r="E115" s="18">
        <v>44401.433333333334</v>
      </c>
      <c r="F115" s="1">
        <v>0.4770833333333333</v>
      </c>
      <c r="G115" s="1">
        <v>0.43333333333333335</v>
      </c>
      <c r="H115" t="s">
        <v>11</v>
      </c>
      <c r="I115">
        <v>54.061276999999997</v>
      </c>
      <c r="J115">
        <v>-124.42237900000001</v>
      </c>
      <c r="K115" t="s">
        <v>12</v>
      </c>
      <c r="L115" t="s">
        <v>33</v>
      </c>
      <c r="M115" t="s">
        <v>13</v>
      </c>
      <c r="N115">
        <v>0</v>
      </c>
      <c r="O115">
        <v>0</v>
      </c>
      <c r="P115" t="s">
        <v>116</v>
      </c>
      <c r="Q115" t="s">
        <v>13</v>
      </c>
      <c r="R115">
        <v>7.3</v>
      </c>
      <c r="S115" t="s">
        <v>13</v>
      </c>
      <c r="T115" t="s">
        <v>117</v>
      </c>
      <c r="U115" s="1">
        <f>Table1[[#This Row],[End Datetime]]-Table1[[#This Row],[Start Datetime]]</f>
        <v>0.95625000000291038</v>
      </c>
    </row>
    <row r="116" spans="1:21" x14ac:dyDescent="0.2">
      <c r="A116" t="s">
        <v>107</v>
      </c>
      <c r="B116" s="2">
        <v>2</v>
      </c>
      <c r="C116" s="2">
        <v>7</v>
      </c>
      <c r="D116" s="8">
        <v>44399.42083333333</v>
      </c>
      <c r="E116" s="8">
        <v>44400.464583333334</v>
      </c>
      <c r="F116" s="1">
        <v>0.42083333333333334</v>
      </c>
      <c r="G116" s="1">
        <v>0.46458333333333335</v>
      </c>
      <c r="H116" t="s">
        <v>11</v>
      </c>
      <c r="I116">
        <v>54.053911999999997</v>
      </c>
      <c r="J116">
        <v>-124.433128</v>
      </c>
      <c r="K116" t="s">
        <v>12</v>
      </c>
      <c r="L116" t="s">
        <v>33</v>
      </c>
      <c r="M116" t="s">
        <v>13</v>
      </c>
      <c r="N116">
        <v>0</v>
      </c>
      <c r="O116">
        <v>0</v>
      </c>
      <c r="P116" t="s">
        <v>15</v>
      </c>
      <c r="Q116" t="s">
        <v>13</v>
      </c>
      <c r="R116">
        <v>6.3</v>
      </c>
      <c r="S116" t="s">
        <v>13</v>
      </c>
      <c r="T116" t="s">
        <v>13</v>
      </c>
      <c r="U116" s="1">
        <f>Table1[[#This Row],[End Datetime]]-Table1[[#This Row],[Start Datetime]]</f>
        <v>1.0437500000043656</v>
      </c>
    </row>
    <row r="117" spans="1:21" x14ac:dyDescent="0.2">
      <c r="A117" t="s">
        <v>107</v>
      </c>
      <c r="B117" s="2">
        <v>2</v>
      </c>
      <c r="C117" s="15">
        <v>7</v>
      </c>
      <c r="D117" s="18">
        <v>44400.465277777781</v>
      </c>
      <c r="E117" s="18">
        <v>44401.423611111109</v>
      </c>
      <c r="F117" s="1">
        <v>0.46527777777777773</v>
      </c>
      <c r="G117" s="1">
        <v>0.4236111111111111</v>
      </c>
      <c r="H117" t="s">
        <v>11</v>
      </c>
      <c r="I117">
        <v>54.053911999999997</v>
      </c>
      <c r="J117">
        <v>-124.433128</v>
      </c>
      <c r="K117" t="s">
        <v>12</v>
      </c>
      <c r="L117" t="s">
        <v>33</v>
      </c>
      <c r="M117" t="s">
        <v>13</v>
      </c>
      <c r="N117">
        <v>0</v>
      </c>
      <c r="O117">
        <v>0</v>
      </c>
      <c r="P117" t="s">
        <v>116</v>
      </c>
      <c r="Q117" t="s">
        <v>13</v>
      </c>
      <c r="R117">
        <v>6.3</v>
      </c>
      <c r="S117" t="s">
        <v>13</v>
      </c>
      <c r="T117" t="s">
        <v>117</v>
      </c>
      <c r="U117" s="1">
        <f>Table1[[#This Row],[End Datetime]]-Table1[[#This Row],[Start Datetime]]</f>
        <v>0.95833333332848269</v>
      </c>
    </row>
    <row r="118" spans="1:21" x14ac:dyDescent="0.2">
      <c r="A118" t="s">
        <v>126</v>
      </c>
      <c r="B118" s="2">
        <v>2</v>
      </c>
      <c r="C118" s="2">
        <v>7</v>
      </c>
      <c r="D118" s="8">
        <v>44401.482638888891</v>
      </c>
      <c r="E118" s="8">
        <v>44402.409722222219</v>
      </c>
      <c r="F118" s="1">
        <v>0.4826388888888889</v>
      </c>
      <c r="G118" s="1">
        <v>0.40972222222222227</v>
      </c>
      <c r="H118" t="s">
        <v>11</v>
      </c>
      <c r="I118">
        <v>54.042783</v>
      </c>
      <c r="J118">
        <v>-124.42596899999999</v>
      </c>
      <c r="K118" t="s">
        <v>12</v>
      </c>
      <c r="L118" t="s">
        <v>33</v>
      </c>
      <c r="M118" t="s">
        <v>13</v>
      </c>
      <c r="N118">
        <v>0</v>
      </c>
      <c r="O118">
        <v>0</v>
      </c>
      <c r="P118" t="s">
        <v>122</v>
      </c>
      <c r="Q118" t="s">
        <v>13</v>
      </c>
      <c r="R118">
        <v>10.199999999999999</v>
      </c>
      <c r="S118" t="s">
        <v>13</v>
      </c>
      <c r="T118" t="s">
        <v>13</v>
      </c>
      <c r="U118" s="1">
        <f>Table1[[#This Row],[End Datetime]]-Table1[[#This Row],[Start Datetime]]</f>
        <v>0.92708333332848269</v>
      </c>
    </row>
    <row r="119" spans="1:21" x14ac:dyDescent="0.2">
      <c r="A119" t="s">
        <v>128</v>
      </c>
      <c r="B119" s="2">
        <v>2</v>
      </c>
      <c r="C119" s="2">
        <v>7</v>
      </c>
      <c r="D119" s="8">
        <v>44401.499305555553</v>
      </c>
      <c r="E119" s="8">
        <v>44402.386111111111</v>
      </c>
      <c r="F119" s="1">
        <v>0.4993055555555555</v>
      </c>
      <c r="G119" s="1">
        <v>0.38611111111111113</v>
      </c>
      <c r="H119" t="s">
        <v>11</v>
      </c>
      <c r="I119">
        <v>54.051394000000002</v>
      </c>
      <c r="J119">
        <v>-124.442217</v>
      </c>
      <c r="K119" t="s">
        <v>12</v>
      </c>
      <c r="L119" t="s">
        <v>33</v>
      </c>
      <c r="M119" t="s">
        <v>13</v>
      </c>
      <c r="N119">
        <v>0</v>
      </c>
      <c r="O119">
        <v>0</v>
      </c>
      <c r="P119" t="s">
        <v>122</v>
      </c>
      <c r="Q119" t="s">
        <v>13</v>
      </c>
      <c r="R119">
        <v>10.1</v>
      </c>
      <c r="S119" t="s">
        <v>13</v>
      </c>
      <c r="T119" t="s">
        <v>13</v>
      </c>
      <c r="U119" s="1">
        <f>Table1[[#This Row],[End Datetime]]-Table1[[#This Row],[Start Datetime]]</f>
        <v>0.8868055555576575</v>
      </c>
    </row>
    <row r="120" spans="1:21" x14ac:dyDescent="0.2">
      <c r="A120" t="s">
        <v>127</v>
      </c>
      <c r="B120" s="2">
        <v>2</v>
      </c>
      <c r="C120" s="2">
        <v>7</v>
      </c>
      <c r="D120" s="8">
        <v>44401.490277777775</v>
      </c>
      <c r="E120" s="8">
        <v>44402.393055555556</v>
      </c>
      <c r="F120" s="1">
        <v>0.49027777777777781</v>
      </c>
      <c r="G120" s="1">
        <v>0.39305555555555555</v>
      </c>
      <c r="H120" t="s">
        <v>11</v>
      </c>
      <c r="I120">
        <v>54.042754000000002</v>
      </c>
      <c r="J120">
        <v>-124.432299</v>
      </c>
      <c r="K120" t="s">
        <v>12</v>
      </c>
      <c r="L120" t="s">
        <v>33</v>
      </c>
      <c r="M120" t="s">
        <v>13</v>
      </c>
      <c r="N120">
        <v>0</v>
      </c>
      <c r="O120">
        <v>0</v>
      </c>
      <c r="P120" t="s">
        <v>122</v>
      </c>
      <c r="Q120" t="s">
        <v>13</v>
      </c>
      <c r="R120">
        <v>7.8</v>
      </c>
      <c r="S120" t="s">
        <v>13</v>
      </c>
      <c r="T120" t="s">
        <v>13</v>
      </c>
      <c r="U120" s="1">
        <f>Table1[[#This Row],[End Datetime]]-Table1[[#This Row],[Start Datetime]]</f>
        <v>0.90277777778101154</v>
      </c>
    </row>
    <row r="121" spans="1:21" x14ac:dyDescent="0.2">
      <c r="A121" t="s">
        <v>124</v>
      </c>
      <c r="B121" s="2">
        <v>2</v>
      </c>
      <c r="C121" s="2">
        <v>7</v>
      </c>
      <c r="D121" s="8">
        <v>44401.474305555559</v>
      </c>
      <c r="E121" s="8">
        <v>44402.419444444444</v>
      </c>
      <c r="F121" s="1">
        <v>0.47430555555555554</v>
      </c>
      <c r="G121" s="1">
        <v>0.41944444444444445</v>
      </c>
      <c r="H121" t="s">
        <v>11</v>
      </c>
      <c r="I121">
        <v>54.044376999999997</v>
      </c>
      <c r="J121">
        <v>-124.41304700000001</v>
      </c>
      <c r="K121" t="s">
        <v>12</v>
      </c>
      <c r="L121" t="s">
        <v>33</v>
      </c>
      <c r="M121" t="s">
        <v>303</v>
      </c>
      <c r="N121">
        <v>1</v>
      </c>
      <c r="O121">
        <v>0</v>
      </c>
      <c r="P121" t="s">
        <v>122</v>
      </c>
      <c r="Q121" t="s">
        <v>13</v>
      </c>
      <c r="R121">
        <v>9.8000000000000007</v>
      </c>
      <c r="S121" t="s">
        <v>13</v>
      </c>
      <c r="T121" t="s">
        <v>13</v>
      </c>
      <c r="U121" s="1">
        <f>Table1[[#This Row],[End Datetime]]-Table1[[#This Row],[Start Datetime]]</f>
        <v>0.945138888884685</v>
      </c>
    </row>
    <row r="122" spans="1:21" x14ac:dyDescent="0.2">
      <c r="A122" t="s">
        <v>125</v>
      </c>
      <c r="B122" s="2">
        <v>2</v>
      </c>
      <c r="C122" s="2">
        <v>7</v>
      </c>
      <c r="D122" s="8">
        <v>44401.477777777778</v>
      </c>
      <c r="E122" s="8">
        <v>44402.414583333331</v>
      </c>
      <c r="F122" s="1">
        <v>0.4777777777777778</v>
      </c>
      <c r="G122" s="1">
        <v>0.4145833333333333</v>
      </c>
      <c r="H122" t="s">
        <v>11</v>
      </c>
      <c r="I122">
        <v>54.043210000000002</v>
      </c>
      <c r="J122">
        <v>-124.422021</v>
      </c>
      <c r="K122" t="s">
        <v>12</v>
      </c>
      <c r="L122" t="s">
        <v>33</v>
      </c>
      <c r="M122" t="s">
        <v>303</v>
      </c>
      <c r="N122">
        <v>1</v>
      </c>
      <c r="O122">
        <v>0</v>
      </c>
      <c r="P122" t="s">
        <v>122</v>
      </c>
      <c r="Q122" t="s">
        <v>13</v>
      </c>
      <c r="R122">
        <v>9.3000000000000007</v>
      </c>
      <c r="S122" t="s">
        <v>13</v>
      </c>
      <c r="T122" t="s">
        <v>13</v>
      </c>
      <c r="U122" s="1">
        <f>Table1[[#This Row],[End Datetime]]-Table1[[#This Row],[Start Datetime]]</f>
        <v>0.93680555555329192</v>
      </c>
    </row>
    <row r="123" spans="1:21" x14ac:dyDescent="0.2">
      <c r="A123" t="s">
        <v>123</v>
      </c>
      <c r="B123" s="2">
        <v>2</v>
      </c>
      <c r="C123" s="2">
        <v>7</v>
      </c>
      <c r="D123" s="8">
        <v>44401.46875</v>
      </c>
      <c r="E123" s="8">
        <v>44402.452777777777</v>
      </c>
      <c r="F123" s="1">
        <v>0.46875</v>
      </c>
      <c r="G123" s="1">
        <v>0.45277777777777778</v>
      </c>
      <c r="H123" t="s">
        <v>11</v>
      </c>
      <c r="I123">
        <v>54.043674000000003</v>
      </c>
      <c r="J123">
        <v>-124.40384</v>
      </c>
      <c r="K123" t="s">
        <v>12</v>
      </c>
      <c r="L123" t="s">
        <v>33</v>
      </c>
      <c r="M123" t="s">
        <v>303</v>
      </c>
      <c r="N123">
        <v>1</v>
      </c>
      <c r="O123">
        <v>0</v>
      </c>
      <c r="P123" t="s">
        <v>122</v>
      </c>
      <c r="Q123" t="s">
        <v>13</v>
      </c>
      <c r="R123">
        <v>8.8000000000000007</v>
      </c>
      <c r="S123" t="s">
        <v>13</v>
      </c>
      <c r="T123" t="s">
        <v>13</v>
      </c>
      <c r="U123" s="1">
        <f>Table1[[#This Row],[End Datetime]]-Table1[[#This Row],[Start Datetime]]</f>
        <v>0.98402777777664596</v>
      </c>
    </row>
    <row r="124" spans="1:21" x14ac:dyDescent="0.2">
      <c r="A124" t="s">
        <v>121</v>
      </c>
      <c r="B124" s="2">
        <v>2</v>
      </c>
      <c r="C124" s="2">
        <v>7</v>
      </c>
      <c r="D124" s="11">
        <v>44401.462500000001</v>
      </c>
      <c r="E124" s="11">
        <v>44402.456250000003</v>
      </c>
      <c r="F124" s="1">
        <v>0.46249999999999997</v>
      </c>
      <c r="G124" s="1">
        <v>0.45624999999999999</v>
      </c>
      <c r="H124" t="s">
        <v>11</v>
      </c>
      <c r="I124">
        <v>54.043601000000002</v>
      </c>
      <c r="J124">
        <v>-124.402804</v>
      </c>
      <c r="K124" t="s">
        <v>12</v>
      </c>
      <c r="L124" t="s">
        <v>33</v>
      </c>
      <c r="M124" t="s">
        <v>303</v>
      </c>
      <c r="N124">
        <v>1</v>
      </c>
      <c r="O124">
        <v>0</v>
      </c>
      <c r="P124" t="s">
        <v>122</v>
      </c>
      <c r="Q124" t="s">
        <v>13</v>
      </c>
      <c r="R124">
        <v>10.5</v>
      </c>
      <c r="S124" t="s">
        <v>13</v>
      </c>
      <c r="T124" t="s">
        <v>13</v>
      </c>
      <c r="U124" s="1">
        <f>Table1[[#This Row],[End Datetime]]-Table1[[#This Row],[Start Datetime]]</f>
        <v>0.99375000000145519</v>
      </c>
    </row>
    <row r="125" spans="1:21" x14ac:dyDescent="0.2">
      <c r="A125" t="s">
        <v>261</v>
      </c>
      <c r="B125" s="2">
        <v>2</v>
      </c>
      <c r="C125" s="2">
        <v>10</v>
      </c>
      <c r="D125" s="11">
        <v>44475.486111111109</v>
      </c>
      <c r="E125" s="11">
        <v>44476.460416666669</v>
      </c>
      <c r="F125" s="1">
        <v>0.4861111111111111</v>
      </c>
      <c r="G125" s="1">
        <v>0.4604166666666667</v>
      </c>
      <c r="H125" t="s">
        <v>11</v>
      </c>
      <c r="I125">
        <v>54.074269999999999</v>
      </c>
      <c r="J125">
        <v>-124.72189</v>
      </c>
      <c r="K125" t="s">
        <v>12</v>
      </c>
      <c r="L125" t="s">
        <v>33</v>
      </c>
      <c r="M125" t="s">
        <v>13</v>
      </c>
      <c r="N125">
        <v>0</v>
      </c>
      <c r="O125">
        <v>0</v>
      </c>
      <c r="P125" t="s">
        <v>15</v>
      </c>
      <c r="Q125">
        <v>200</v>
      </c>
      <c r="R125">
        <v>6.7</v>
      </c>
      <c r="S125" t="s">
        <v>13</v>
      </c>
      <c r="T125" t="s">
        <v>13</v>
      </c>
      <c r="U125" s="1">
        <f>Table1[[#This Row],[End Datetime]]-Table1[[#This Row],[Start Datetime]]</f>
        <v>0.97430555555911269</v>
      </c>
    </row>
    <row r="126" spans="1:21" x14ac:dyDescent="0.2">
      <c r="A126" t="s">
        <v>257</v>
      </c>
      <c r="B126" s="15">
        <v>2</v>
      </c>
      <c r="C126" s="15">
        <v>10</v>
      </c>
      <c r="D126" s="11">
        <v>44475.475694444445</v>
      </c>
      <c r="E126" s="11">
        <v>44476.451388888891</v>
      </c>
      <c r="F126" s="1">
        <v>0.47569444444444442</v>
      </c>
      <c r="G126" s="1">
        <v>0.4513888888888889</v>
      </c>
      <c r="H126" t="s">
        <v>11</v>
      </c>
      <c r="I126">
        <v>54.070970000000003</v>
      </c>
      <c r="J126">
        <v>-124.73719</v>
      </c>
      <c r="K126" t="s">
        <v>12</v>
      </c>
      <c r="L126" t="s">
        <v>33</v>
      </c>
      <c r="M126" t="s">
        <v>13</v>
      </c>
      <c r="N126">
        <v>0</v>
      </c>
      <c r="O126">
        <v>0</v>
      </c>
      <c r="P126" t="s">
        <v>15</v>
      </c>
      <c r="Q126">
        <v>200</v>
      </c>
      <c r="R126">
        <v>2.8</v>
      </c>
      <c r="S126" t="s">
        <v>13</v>
      </c>
      <c r="T126" t="s">
        <v>258</v>
      </c>
      <c r="U126" s="1">
        <f>Table1[[#This Row],[End Datetime]]-Table1[[#This Row],[Start Datetime]]</f>
        <v>0.97569444444525288</v>
      </c>
    </row>
    <row r="127" spans="1:21" x14ac:dyDescent="0.2">
      <c r="A127" t="s">
        <v>216</v>
      </c>
      <c r="B127" s="2">
        <v>2</v>
      </c>
      <c r="C127" s="3">
        <v>10</v>
      </c>
      <c r="D127" s="11">
        <v>44475.5</v>
      </c>
      <c r="E127" s="11">
        <v>44476.475694444445</v>
      </c>
      <c r="F127" s="1">
        <v>0.5</v>
      </c>
      <c r="G127" s="1">
        <v>0.47569444444444442</v>
      </c>
      <c r="H127" t="s">
        <v>11</v>
      </c>
      <c r="I127">
        <v>54.075290000000003</v>
      </c>
      <c r="J127">
        <v>-124.70721</v>
      </c>
      <c r="K127" t="s">
        <v>12</v>
      </c>
      <c r="L127" t="s">
        <v>33</v>
      </c>
      <c r="M127" t="s">
        <v>13</v>
      </c>
      <c r="N127">
        <v>0</v>
      </c>
      <c r="O127">
        <v>0</v>
      </c>
      <c r="P127" t="s">
        <v>15</v>
      </c>
      <c r="Q127">
        <v>200</v>
      </c>
      <c r="R127">
        <v>8.6999999999999993</v>
      </c>
      <c r="S127" t="s">
        <v>13</v>
      </c>
      <c r="T127" t="s">
        <v>13</v>
      </c>
      <c r="U127" s="1">
        <f>Table1[[#This Row],[End Datetime]]-Table1[[#This Row],[Start Datetime]]</f>
        <v>0.97569444444525288</v>
      </c>
    </row>
    <row r="128" spans="1:21" x14ac:dyDescent="0.2">
      <c r="A128" t="s">
        <v>216</v>
      </c>
      <c r="B128" s="2">
        <v>2</v>
      </c>
      <c r="C128" s="3">
        <v>10</v>
      </c>
      <c r="D128" s="11">
        <v>44476.479166666664</v>
      </c>
      <c r="E128" s="11">
        <v>44477.458333333336</v>
      </c>
      <c r="F128" s="1">
        <v>0.47916666666666669</v>
      </c>
      <c r="G128" s="1">
        <v>0.45833333333333331</v>
      </c>
      <c r="H128" t="s">
        <v>11</v>
      </c>
      <c r="I128">
        <v>54.075290000000003</v>
      </c>
      <c r="J128">
        <v>-124.70721</v>
      </c>
      <c r="K128" t="s">
        <v>12</v>
      </c>
      <c r="L128" t="s">
        <v>33</v>
      </c>
      <c r="M128" t="s">
        <v>13</v>
      </c>
      <c r="N128">
        <v>0</v>
      </c>
      <c r="O128">
        <v>0</v>
      </c>
      <c r="R128">
        <v>7.4</v>
      </c>
      <c r="S128" t="s">
        <v>13</v>
      </c>
      <c r="T128" t="s">
        <v>13</v>
      </c>
      <c r="U128" s="1">
        <f>Table1[[#This Row],[End Datetime]]-Table1[[#This Row],[Start Datetime]]</f>
        <v>0.97916666667151731</v>
      </c>
    </row>
    <row r="129" spans="1:21" x14ac:dyDescent="0.2">
      <c r="A129" t="s">
        <v>216</v>
      </c>
      <c r="B129" s="2">
        <v>2</v>
      </c>
      <c r="C129" s="3">
        <v>10</v>
      </c>
      <c r="D129" s="11">
        <v>44476.479166666664</v>
      </c>
      <c r="E129" s="11">
        <v>44477.458333333336</v>
      </c>
      <c r="F129" s="1">
        <v>0.47916666666666669</v>
      </c>
      <c r="G129" s="1">
        <v>0.45833333333333331</v>
      </c>
      <c r="H129" t="s">
        <v>11</v>
      </c>
      <c r="I129">
        <v>54.075290000000003</v>
      </c>
      <c r="J129">
        <v>-124.70721</v>
      </c>
      <c r="K129" t="s">
        <v>12</v>
      </c>
      <c r="L129" t="s">
        <v>33</v>
      </c>
      <c r="M129" t="s">
        <v>13</v>
      </c>
      <c r="N129">
        <v>0</v>
      </c>
      <c r="O129">
        <v>0</v>
      </c>
      <c r="P129" t="s">
        <v>15</v>
      </c>
      <c r="Q129">
        <v>200</v>
      </c>
      <c r="R129">
        <v>7.4</v>
      </c>
      <c r="S129" t="s">
        <v>13</v>
      </c>
      <c r="T129" t="s">
        <v>13</v>
      </c>
      <c r="U129" s="1">
        <f>Table1[[#This Row],[End Datetime]]-Table1[[#This Row],[Start Datetime]]</f>
        <v>0.97916666667151731</v>
      </c>
    </row>
    <row r="130" spans="1:21" x14ac:dyDescent="0.2">
      <c r="A130" t="s">
        <v>259</v>
      </c>
      <c r="B130" s="15">
        <v>2</v>
      </c>
      <c r="C130" s="3">
        <v>10</v>
      </c>
      <c r="D130" s="11">
        <v>44475.479166666664</v>
      </c>
      <c r="E130" s="11">
        <v>44476.447916666664</v>
      </c>
      <c r="F130" s="1">
        <v>0.47916666666666669</v>
      </c>
      <c r="G130" s="1">
        <v>0.44791666666666669</v>
      </c>
      <c r="H130" t="s">
        <v>11</v>
      </c>
      <c r="I130">
        <v>54.071449999999999</v>
      </c>
      <c r="J130">
        <v>-124.73849</v>
      </c>
      <c r="K130" t="s">
        <v>12</v>
      </c>
      <c r="L130" t="s">
        <v>33</v>
      </c>
      <c r="M130" t="s">
        <v>13</v>
      </c>
      <c r="N130">
        <v>0</v>
      </c>
      <c r="O130">
        <v>0</v>
      </c>
      <c r="P130" t="s">
        <v>15</v>
      </c>
      <c r="Q130">
        <v>200</v>
      </c>
      <c r="R130">
        <v>3.2</v>
      </c>
      <c r="S130" t="s">
        <v>13</v>
      </c>
      <c r="T130" t="s">
        <v>13</v>
      </c>
      <c r="U130" s="1">
        <f>Table1[[#This Row],[End Datetime]]-Table1[[#This Row],[Start Datetime]]</f>
        <v>0.96875</v>
      </c>
    </row>
    <row r="131" spans="1:21" x14ac:dyDescent="0.2">
      <c r="A131" t="s">
        <v>282</v>
      </c>
      <c r="B131" s="21">
        <v>2</v>
      </c>
      <c r="C131" s="12">
        <v>10</v>
      </c>
      <c r="D131" s="14">
        <v>44476.517361111109</v>
      </c>
      <c r="E131" s="14">
        <v>44477.451388888891</v>
      </c>
      <c r="F131" s="1">
        <v>0.51736111111111105</v>
      </c>
      <c r="G131" s="1">
        <v>0.4513888888888889</v>
      </c>
      <c r="H131" t="s">
        <v>11</v>
      </c>
      <c r="I131">
        <v>54.108519999999999</v>
      </c>
      <c r="J131">
        <v>-124.68407999999999</v>
      </c>
      <c r="K131" t="s">
        <v>12</v>
      </c>
      <c r="L131" t="s">
        <v>33</v>
      </c>
      <c r="M131" t="s">
        <v>13</v>
      </c>
      <c r="N131">
        <v>0</v>
      </c>
      <c r="O131">
        <v>0</v>
      </c>
      <c r="P131" t="s">
        <v>15</v>
      </c>
      <c r="Q131">
        <v>200</v>
      </c>
      <c r="R131">
        <v>3.2</v>
      </c>
      <c r="S131" t="s">
        <v>13</v>
      </c>
      <c r="T131" t="s">
        <v>283</v>
      </c>
      <c r="U131" s="1">
        <f>Table1[[#This Row],[End Datetime]]-Table1[[#This Row],[Start Datetime]]</f>
        <v>0.93402777778101154</v>
      </c>
    </row>
    <row r="132" spans="1:21" x14ac:dyDescent="0.2">
      <c r="A132" t="s">
        <v>262</v>
      </c>
      <c r="B132" s="2">
        <v>2</v>
      </c>
      <c r="C132" s="3">
        <v>10</v>
      </c>
      <c r="D132" s="11">
        <v>44475.489583333336</v>
      </c>
      <c r="E132" s="11">
        <v>44476.461805555555</v>
      </c>
      <c r="F132" s="1">
        <v>0.48958333333333331</v>
      </c>
      <c r="G132" s="1">
        <v>0.46180555555555558</v>
      </c>
      <c r="H132" t="s">
        <v>11</v>
      </c>
      <c r="I132">
        <v>54.074010000000001</v>
      </c>
      <c r="J132">
        <v>-124.72372</v>
      </c>
      <c r="K132" t="s">
        <v>12</v>
      </c>
      <c r="L132" t="s">
        <v>33</v>
      </c>
      <c r="M132" t="s">
        <v>13</v>
      </c>
      <c r="N132">
        <v>0</v>
      </c>
      <c r="O132">
        <v>0</v>
      </c>
      <c r="P132" t="s">
        <v>15</v>
      </c>
      <c r="Q132">
        <v>200</v>
      </c>
      <c r="R132">
        <v>6.1</v>
      </c>
      <c r="S132" t="s">
        <v>13</v>
      </c>
      <c r="T132" t="s">
        <v>13</v>
      </c>
      <c r="U132" s="1">
        <f>Table1[[#This Row],[End Datetime]]-Table1[[#This Row],[Start Datetime]]</f>
        <v>0.97222222221898846</v>
      </c>
    </row>
    <row r="133" spans="1:21" x14ac:dyDescent="0.2">
      <c r="A133" t="s">
        <v>284</v>
      </c>
      <c r="B133" s="21">
        <v>2</v>
      </c>
      <c r="C133" s="12">
        <v>10</v>
      </c>
      <c r="D133" s="14">
        <v>44476.520833333336</v>
      </c>
      <c r="E133" s="14">
        <v>44477.447916666664</v>
      </c>
      <c r="F133" s="1">
        <v>0.52083333333333337</v>
      </c>
      <c r="G133" s="1">
        <v>0.44791666666666669</v>
      </c>
      <c r="H133" t="s">
        <v>11</v>
      </c>
      <c r="I133">
        <v>54.104349999999997</v>
      </c>
      <c r="J133">
        <v>-124.67747</v>
      </c>
      <c r="K133" t="s">
        <v>12</v>
      </c>
      <c r="L133" t="s">
        <v>33</v>
      </c>
      <c r="M133" t="s">
        <v>13</v>
      </c>
      <c r="N133">
        <v>0</v>
      </c>
      <c r="O133">
        <v>0</v>
      </c>
      <c r="P133" t="s">
        <v>15</v>
      </c>
      <c r="Q133">
        <v>200</v>
      </c>
      <c r="R133">
        <v>9</v>
      </c>
      <c r="S133" t="s">
        <v>13</v>
      </c>
      <c r="T133" t="s">
        <v>288</v>
      </c>
      <c r="U133" s="1">
        <f>Table1[[#This Row],[End Datetime]]-Table1[[#This Row],[Start Datetime]]</f>
        <v>0.92708333332848269</v>
      </c>
    </row>
    <row r="134" spans="1:21" x14ac:dyDescent="0.2">
      <c r="A134" t="s">
        <v>277</v>
      </c>
      <c r="B134" s="21">
        <v>2</v>
      </c>
      <c r="C134" s="21">
        <v>10</v>
      </c>
      <c r="D134" s="19">
        <v>44476.493055555555</v>
      </c>
      <c r="E134" s="19">
        <v>44477.465277777781</v>
      </c>
      <c r="F134" s="1">
        <v>0.49305555555555558</v>
      </c>
      <c r="G134" s="1">
        <v>0.46527777777777773</v>
      </c>
      <c r="H134" t="s">
        <v>11</v>
      </c>
      <c r="I134">
        <v>54.078710000000001</v>
      </c>
      <c r="J134">
        <v>-124.69035</v>
      </c>
      <c r="K134" t="s">
        <v>12</v>
      </c>
      <c r="L134" t="s">
        <v>33</v>
      </c>
      <c r="M134" t="s">
        <v>13</v>
      </c>
      <c r="N134">
        <v>0</v>
      </c>
      <c r="O134">
        <v>0</v>
      </c>
      <c r="P134" t="s">
        <v>15</v>
      </c>
      <c r="Q134">
        <v>200</v>
      </c>
      <c r="R134">
        <v>3</v>
      </c>
      <c r="S134" t="s">
        <v>13</v>
      </c>
      <c r="T134" t="s">
        <v>13</v>
      </c>
      <c r="U134" s="1">
        <f>Table1[[#This Row],[End Datetime]]-Table1[[#This Row],[Start Datetime]]</f>
        <v>0.97222222222626442</v>
      </c>
    </row>
    <row r="135" spans="1:21" x14ac:dyDescent="0.2">
      <c r="A135" t="s">
        <v>260</v>
      </c>
      <c r="B135" s="2">
        <v>2</v>
      </c>
      <c r="C135" s="2">
        <v>10</v>
      </c>
      <c r="D135" s="8">
        <v>44475.481249999997</v>
      </c>
      <c r="E135" s="8">
        <v>44476.454861111109</v>
      </c>
      <c r="F135" s="1">
        <v>0.48125000000000001</v>
      </c>
      <c r="G135" s="1">
        <v>0.4548611111111111</v>
      </c>
      <c r="H135" t="s">
        <v>11</v>
      </c>
      <c r="I135">
        <v>54.072620000000001</v>
      </c>
      <c r="J135">
        <v>-124.73275</v>
      </c>
      <c r="K135" t="s">
        <v>12</v>
      </c>
      <c r="L135" t="s">
        <v>33</v>
      </c>
      <c r="M135" t="s">
        <v>13</v>
      </c>
      <c r="N135">
        <v>0</v>
      </c>
      <c r="O135">
        <v>0</v>
      </c>
      <c r="P135" t="s">
        <v>15</v>
      </c>
      <c r="Q135">
        <v>200</v>
      </c>
      <c r="R135">
        <v>3.4</v>
      </c>
      <c r="S135" t="s">
        <v>13</v>
      </c>
      <c r="T135" t="s">
        <v>13</v>
      </c>
      <c r="U135" s="1">
        <f>Table1[[#This Row],[End Datetime]]-Table1[[#This Row],[Start Datetime]]</f>
        <v>0.97361111111240461</v>
      </c>
    </row>
    <row r="136" spans="1:21" x14ac:dyDescent="0.2">
      <c r="A136" t="s">
        <v>278</v>
      </c>
      <c r="B136" s="21">
        <v>2</v>
      </c>
      <c r="C136" s="21">
        <v>10</v>
      </c>
      <c r="D136" s="19">
        <v>44476.496527777781</v>
      </c>
      <c r="E136" s="19">
        <v>44477.467361111114</v>
      </c>
      <c r="F136" s="1">
        <v>0.49652777777777773</v>
      </c>
      <c r="G136" s="1">
        <v>0.46736111111111112</v>
      </c>
      <c r="H136" t="s">
        <v>11</v>
      </c>
      <c r="I136">
        <v>54.075650000000003</v>
      </c>
      <c r="J136">
        <v>-124.67715</v>
      </c>
      <c r="K136" t="s">
        <v>12</v>
      </c>
      <c r="L136" t="s">
        <v>33</v>
      </c>
      <c r="M136" t="s">
        <v>305</v>
      </c>
      <c r="N136">
        <v>1</v>
      </c>
      <c r="O136">
        <v>0</v>
      </c>
      <c r="P136" t="s">
        <v>15</v>
      </c>
      <c r="Q136">
        <v>200</v>
      </c>
      <c r="R136">
        <v>2.8</v>
      </c>
      <c r="S136" t="s">
        <v>13</v>
      </c>
      <c r="T136" t="s">
        <v>13</v>
      </c>
      <c r="U136" s="1">
        <f>Table1[[#This Row],[End Datetime]]-Table1[[#This Row],[Start Datetime]]</f>
        <v>0.97083333333284827</v>
      </c>
    </row>
    <row r="137" spans="1:21" x14ac:dyDescent="0.2">
      <c r="A137" t="s">
        <v>279</v>
      </c>
      <c r="B137" s="21">
        <v>2</v>
      </c>
      <c r="C137" s="21">
        <v>10</v>
      </c>
      <c r="D137" s="19">
        <v>44476.506944444445</v>
      </c>
      <c r="E137" s="19">
        <v>44477.439583333333</v>
      </c>
      <c r="F137" s="1">
        <v>0.50694444444444442</v>
      </c>
      <c r="G137" s="1">
        <v>0.43958333333333338</v>
      </c>
      <c r="H137" t="s">
        <v>11</v>
      </c>
      <c r="I137">
        <v>54.100619999999999</v>
      </c>
      <c r="J137">
        <v>-124.72302000000001</v>
      </c>
      <c r="K137" t="s">
        <v>12</v>
      </c>
      <c r="L137" t="s">
        <v>33</v>
      </c>
      <c r="M137" t="s">
        <v>13</v>
      </c>
      <c r="N137">
        <v>0</v>
      </c>
      <c r="O137">
        <v>0</v>
      </c>
      <c r="P137" t="s">
        <v>15</v>
      </c>
      <c r="Q137">
        <v>200</v>
      </c>
      <c r="R137">
        <v>9.5</v>
      </c>
      <c r="S137" t="s">
        <v>13</v>
      </c>
      <c r="T137" t="s">
        <v>280</v>
      </c>
      <c r="U137" s="1">
        <f>Table1[[#This Row],[End Datetime]]-Table1[[#This Row],[Start Datetime]]</f>
        <v>0.93263888888759539</v>
      </c>
    </row>
    <row r="138" spans="1:21" x14ac:dyDescent="0.2">
      <c r="A138" t="s">
        <v>263</v>
      </c>
      <c r="B138" s="2">
        <v>2</v>
      </c>
      <c r="C138" s="2">
        <v>10</v>
      </c>
      <c r="D138" s="8">
        <v>44475.496527777781</v>
      </c>
      <c r="E138" s="8">
        <v>44476.46875</v>
      </c>
      <c r="F138" s="1">
        <v>0.49652777777777773</v>
      </c>
      <c r="G138" s="1">
        <v>0.46875</v>
      </c>
      <c r="H138" t="s">
        <v>11</v>
      </c>
      <c r="I138">
        <v>54.074199999999998</v>
      </c>
      <c r="J138">
        <v>-124.70714</v>
      </c>
      <c r="K138" t="s">
        <v>12</v>
      </c>
      <c r="L138" t="s">
        <v>33</v>
      </c>
      <c r="M138" t="s">
        <v>13</v>
      </c>
      <c r="N138">
        <v>0</v>
      </c>
      <c r="O138">
        <v>0</v>
      </c>
      <c r="P138" t="s">
        <v>15</v>
      </c>
      <c r="Q138">
        <v>200</v>
      </c>
      <c r="R138">
        <v>3.5</v>
      </c>
      <c r="S138" t="s">
        <v>13</v>
      </c>
      <c r="T138" t="s">
        <v>13</v>
      </c>
      <c r="U138" s="1">
        <f>Table1[[#This Row],[End Datetime]]-Table1[[#This Row],[Start Datetime]]</f>
        <v>0.97222222221898846</v>
      </c>
    </row>
    <row r="139" spans="1:21" x14ac:dyDescent="0.2">
      <c r="A139" t="s">
        <v>217</v>
      </c>
      <c r="B139" s="2">
        <v>2</v>
      </c>
      <c r="C139" s="2">
        <v>10</v>
      </c>
      <c r="D139" s="8">
        <v>44476.489583333336</v>
      </c>
      <c r="E139" s="8">
        <v>44477.461805555555</v>
      </c>
      <c r="F139" s="1">
        <v>0.48958333333333331</v>
      </c>
      <c r="G139" s="1">
        <v>0.46180555555555558</v>
      </c>
      <c r="H139" t="s">
        <v>11</v>
      </c>
      <c r="I139">
        <v>54.073349999999998</v>
      </c>
      <c r="J139">
        <v>-124.7034</v>
      </c>
      <c r="K139" t="s">
        <v>12</v>
      </c>
      <c r="L139" t="s">
        <v>33</v>
      </c>
      <c r="M139" t="s">
        <v>13</v>
      </c>
      <c r="N139">
        <v>0</v>
      </c>
      <c r="O139">
        <v>0</v>
      </c>
      <c r="R139">
        <v>1.8</v>
      </c>
      <c r="S139" t="s">
        <v>13</v>
      </c>
      <c r="T139" t="s">
        <v>218</v>
      </c>
      <c r="U139" s="1">
        <f>Table1[[#This Row],[End Datetime]]-Table1[[#This Row],[Start Datetime]]</f>
        <v>0.97222222221898846</v>
      </c>
    </row>
    <row r="140" spans="1:21" x14ac:dyDescent="0.2">
      <c r="A140" t="s">
        <v>217</v>
      </c>
      <c r="B140" s="2">
        <v>2</v>
      </c>
      <c r="C140" s="3">
        <v>10</v>
      </c>
      <c r="D140" s="11">
        <v>44476.489583333336</v>
      </c>
      <c r="E140" s="8">
        <v>44477.461805555555</v>
      </c>
      <c r="F140" s="1">
        <v>0.48958333333333331</v>
      </c>
      <c r="G140" s="1">
        <v>0.46180555555555558</v>
      </c>
      <c r="H140" t="s">
        <v>11</v>
      </c>
      <c r="I140">
        <v>54.073349999999998</v>
      </c>
      <c r="J140">
        <v>-124.7034</v>
      </c>
      <c r="K140" t="s">
        <v>12</v>
      </c>
      <c r="L140" t="s">
        <v>33</v>
      </c>
      <c r="M140" t="s">
        <v>13</v>
      </c>
      <c r="N140">
        <v>0</v>
      </c>
      <c r="O140">
        <v>0</v>
      </c>
      <c r="P140" t="s">
        <v>15</v>
      </c>
      <c r="Q140">
        <v>200</v>
      </c>
      <c r="R140">
        <v>1.8</v>
      </c>
      <c r="S140" t="s">
        <v>13</v>
      </c>
      <c r="T140" t="s">
        <v>276</v>
      </c>
      <c r="U140" s="1">
        <f>Table1[[#This Row],[End Datetime]]-Table1[[#This Row],[Start Datetime]]</f>
        <v>0.97222222221898846</v>
      </c>
    </row>
    <row r="141" spans="1:21" x14ac:dyDescent="0.2">
      <c r="A141" t="s">
        <v>281</v>
      </c>
      <c r="B141" s="21">
        <v>2</v>
      </c>
      <c r="C141" s="12">
        <v>10</v>
      </c>
      <c r="D141" s="14">
        <v>44476.510416666664</v>
      </c>
      <c r="E141" s="19">
        <v>44477.4375</v>
      </c>
      <c r="F141" s="1">
        <v>0.51041666666666663</v>
      </c>
      <c r="G141" s="1">
        <v>0.4375</v>
      </c>
      <c r="H141" t="s">
        <v>11</v>
      </c>
      <c r="I141">
        <v>54.101329999999997</v>
      </c>
      <c r="J141">
        <v>-124.72147</v>
      </c>
      <c r="K141" t="s">
        <v>12</v>
      </c>
      <c r="L141" t="s">
        <v>33</v>
      </c>
      <c r="M141" t="s">
        <v>303</v>
      </c>
      <c r="N141">
        <v>1</v>
      </c>
      <c r="O141">
        <v>0</v>
      </c>
      <c r="P141" t="s">
        <v>15</v>
      </c>
      <c r="Q141">
        <v>200</v>
      </c>
      <c r="R141">
        <v>8</v>
      </c>
      <c r="S141" t="s">
        <v>13</v>
      </c>
      <c r="T141" t="s">
        <v>13</v>
      </c>
      <c r="U141" s="1">
        <f>Table1[[#This Row],[End Datetime]]-Table1[[#This Row],[Start Datetime]]</f>
        <v>0.92708333333575865</v>
      </c>
    </row>
    <row r="142" spans="1:21" x14ac:dyDescent="0.2">
      <c r="A142" t="s">
        <v>264</v>
      </c>
      <c r="B142" s="2">
        <v>2</v>
      </c>
      <c r="C142" s="3">
        <v>10</v>
      </c>
      <c r="D142" s="11">
        <v>44475.49722222222</v>
      </c>
      <c r="E142" s="8">
        <v>44476.472222222219</v>
      </c>
      <c r="F142" s="1">
        <v>0.49722222222222223</v>
      </c>
      <c r="G142" s="1">
        <v>0.47222222222222227</v>
      </c>
      <c r="H142" t="s">
        <v>11</v>
      </c>
      <c r="I142">
        <v>54.074460000000002</v>
      </c>
      <c r="J142">
        <v>-124.71384999999999</v>
      </c>
      <c r="K142" t="s">
        <v>12</v>
      </c>
      <c r="L142" t="s">
        <v>33</v>
      </c>
      <c r="M142" t="s">
        <v>13</v>
      </c>
      <c r="N142">
        <v>0</v>
      </c>
      <c r="O142">
        <v>0</v>
      </c>
      <c r="P142" t="s">
        <v>15</v>
      </c>
      <c r="Q142">
        <v>200</v>
      </c>
      <c r="R142">
        <v>8.5</v>
      </c>
      <c r="S142" t="s">
        <v>13</v>
      </c>
      <c r="T142" t="s">
        <v>13</v>
      </c>
      <c r="U142" s="1">
        <f>Table1[[#This Row],[End Datetime]]-Table1[[#This Row],[Start Datetime]]</f>
        <v>0.97499999999854481</v>
      </c>
    </row>
    <row r="143" spans="1:21" x14ac:dyDescent="0.2">
      <c r="A143" t="s">
        <v>225</v>
      </c>
      <c r="B143" s="2">
        <v>3</v>
      </c>
      <c r="C143" s="3">
        <v>10</v>
      </c>
      <c r="D143" s="11">
        <v>44473.565972222219</v>
      </c>
      <c r="E143" s="8">
        <v>44474.506944444445</v>
      </c>
      <c r="F143" s="1">
        <v>0.56597222222222221</v>
      </c>
      <c r="G143" s="1">
        <v>0.50694444444444442</v>
      </c>
      <c r="H143" t="s">
        <v>11</v>
      </c>
      <c r="I143">
        <v>54.084530000000001</v>
      </c>
      <c r="J143">
        <v>-124.80587</v>
      </c>
      <c r="K143" t="s">
        <v>12</v>
      </c>
      <c r="L143" t="s">
        <v>33</v>
      </c>
      <c r="M143" t="s">
        <v>13</v>
      </c>
      <c r="N143">
        <v>0</v>
      </c>
      <c r="O143">
        <v>0</v>
      </c>
      <c r="P143" t="s">
        <v>15</v>
      </c>
      <c r="Q143">
        <v>200</v>
      </c>
      <c r="R143">
        <v>2</v>
      </c>
      <c r="S143" t="s">
        <v>13</v>
      </c>
      <c r="T143" t="s">
        <v>13</v>
      </c>
      <c r="U143" s="1">
        <f>Table1[[#This Row],[End Datetime]]-Table1[[#This Row],[Start Datetime]]</f>
        <v>0.94097222222626442</v>
      </c>
    </row>
    <row r="144" spans="1:21" x14ac:dyDescent="0.2">
      <c r="A144" t="s">
        <v>232</v>
      </c>
      <c r="B144" s="2">
        <v>3</v>
      </c>
      <c r="C144" s="2">
        <v>10</v>
      </c>
      <c r="D144" s="8">
        <v>44473.618055555555</v>
      </c>
      <c r="E144" s="8">
        <v>44474.607638888891</v>
      </c>
      <c r="F144" s="1">
        <v>0.61805555555555558</v>
      </c>
      <c r="G144" s="1">
        <v>0.60763888888888895</v>
      </c>
      <c r="H144" t="s">
        <v>11</v>
      </c>
      <c r="I144">
        <v>54.075130000000001</v>
      </c>
      <c r="J144">
        <v>-124.79948</v>
      </c>
      <c r="K144" t="s">
        <v>12</v>
      </c>
      <c r="L144" t="s">
        <v>33</v>
      </c>
      <c r="M144" t="s">
        <v>303</v>
      </c>
      <c r="N144">
        <v>1</v>
      </c>
      <c r="O144">
        <v>0</v>
      </c>
      <c r="P144" t="s">
        <v>15</v>
      </c>
      <c r="Q144">
        <v>200</v>
      </c>
      <c r="R144">
        <v>5.4</v>
      </c>
      <c r="S144" t="s">
        <v>13</v>
      </c>
      <c r="T144" t="s">
        <v>13</v>
      </c>
      <c r="U144" s="1">
        <f>Table1[[#This Row],[End Datetime]]-Table1[[#This Row],[Start Datetime]]</f>
        <v>0.98958333333575865</v>
      </c>
    </row>
    <row r="145" spans="1:21" x14ac:dyDescent="0.2">
      <c r="A145" t="s">
        <v>234</v>
      </c>
      <c r="B145" s="2">
        <v>3</v>
      </c>
      <c r="C145" s="2">
        <v>10</v>
      </c>
      <c r="D145" s="8">
        <v>44473.628472222219</v>
      </c>
      <c r="E145" s="8">
        <v>44474.618055555555</v>
      </c>
      <c r="F145" s="1">
        <v>0.62847222222222221</v>
      </c>
      <c r="G145" s="1">
        <v>0.61805555555555558</v>
      </c>
      <c r="H145" t="s">
        <v>11</v>
      </c>
      <c r="I145">
        <v>54.070039999999999</v>
      </c>
      <c r="J145">
        <v>-124.7598</v>
      </c>
      <c r="K145" t="s">
        <v>12</v>
      </c>
      <c r="L145" t="s">
        <v>33</v>
      </c>
      <c r="M145" t="s">
        <v>13</v>
      </c>
      <c r="N145">
        <v>0</v>
      </c>
      <c r="O145">
        <v>0</v>
      </c>
      <c r="P145" t="s">
        <v>15</v>
      </c>
      <c r="Q145">
        <v>200</v>
      </c>
      <c r="R145">
        <v>6.5</v>
      </c>
      <c r="S145" t="s">
        <v>13</v>
      </c>
      <c r="T145" t="s">
        <v>13</v>
      </c>
      <c r="U145" s="1">
        <f>Table1[[#This Row],[End Datetime]]-Table1[[#This Row],[Start Datetime]]</f>
        <v>0.98958333333575865</v>
      </c>
    </row>
    <row r="146" spans="1:21" x14ac:dyDescent="0.2">
      <c r="A146" t="s">
        <v>229</v>
      </c>
      <c r="B146" s="2">
        <v>3</v>
      </c>
      <c r="C146" s="2">
        <v>10</v>
      </c>
      <c r="D146" s="8">
        <v>44473.586805555555</v>
      </c>
      <c r="E146" s="8">
        <v>44474.53125</v>
      </c>
      <c r="F146" s="1">
        <v>0.58680555555555558</v>
      </c>
      <c r="G146" s="1">
        <v>0.53125</v>
      </c>
      <c r="H146" t="s">
        <v>11</v>
      </c>
      <c r="I146">
        <v>54.088209999999997</v>
      </c>
      <c r="J146">
        <v>-124.82257</v>
      </c>
      <c r="K146" t="s">
        <v>12</v>
      </c>
      <c r="L146" t="s">
        <v>33</v>
      </c>
      <c r="M146" t="s">
        <v>13</v>
      </c>
      <c r="N146">
        <v>0</v>
      </c>
      <c r="O146">
        <v>0</v>
      </c>
      <c r="P146" t="s">
        <v>15</v>
      </c>
      <c r="Q146">
        <v>200</v>
      </c>
      <c r="R146">
        <v>2</v>
      </c>
      <c r="S146" t="s">
        <v>13</v>
      </c>
      <c r="T146" t="s">
        <v>13</v>
      </c>
      <c r="U146" s="1">
        <f>Table1[[#This Row],[End Datetime]]-Table1[[#This Row],[Start Datetime]]</f>
        <v>0.94444444444525288</v>
      </c>
    </row>
    <row r="147" spans="1:21" x14ac:dyDescent="0.2">
      <c r="A147" t="s">
        <v>230</v>
      </c>
      <c r="B147" s="2">
        <v>3</v>
      </c>
      <c r="C147" s="2">
        <v>10</v>
      </c>
      <c r="D147" s="8">
        <v>44473.59375</v>
      </c>
      <c r="E147" s="8">
        <v>44474.524305555555</v>
      </c>
      <c r="F147" s="1">
        <v>0.59375</v>
      </c>
      <c r="G147" s="1">
        <v>0.52430555555555558</v>
      </c>
      <c r="H147" t="s">
        <v>11</v>
      </c>
      <c r="I147">
        <v>54.081719999999997</v>
      </c>
      <c r="J147">
        <v>-124.81322</v>
      </c>
      <c r="K147" t="s">
        <v>12</v>
      </c>
      <c r="L147" t="s">
        <v>33</v>
      </c>
      <c r="M147" t="s">
        <v>223</v>
      </c>
      <c r="N147">
        <v>1</v>
      </c>
      <c r="O147">
        <v>0</v>
      </c>
      <c r="P147" t="s">
        <v>15</v>
      </c>
      <c r="Q147">
        <v>200</v>
      </c>
      <c r="R147">
        <v>3</v>
      </c>
      <c r="S147" t="s">
        <v>13</v>
      </c>
      <c r="T147" t="s">
        <v>13</v>
      </c>
      <c r="U147" s="1">
        <f>Table1[[#This Row],[End Datetime]]-Table1[[#This Row],[Start Datetime]]</f>
        <v>0.93055555555474712</v>
      </c>
    </row>
    <row r="148" spans="1:21" x14ac:dyDescent="0.2">
      <c r="A148" t="s">
        <v>227</v>
      </c>
      <c r="B148" s="2">
        <v>3</v>
      </c>
      <c r="C148" s="2">
        <v>10</v>
      </c>
      <c r="D148" s="8">
        <v>44473.576388888891</v>
      </c>
      <c r="E148" s="8">
        <v>44474.511111111111</v>
      </c>
      <c r="F148" s="1">
        <v>0.57638888888888895</v>
      </c>
      <c r="G148" s="1">
        <v>0.51111111111111118</v>
      </c>
      <c r="H148" t="s">
        <v>11</v>
      </c>
      <c r="I148">
        <v>54.091349999999998</v>
      </c>
      <c r="J148">
        <v>-124.80273</v>
      </c>
      <c r="K148" t="s">
        <v>12</v>
      </c>
      <c r="L148" t="s">
        <v>33</v>
      </c>
      <c r="M148" t="s">
        <v>20</v>
      </c>
      <c r="N148">
        <v>1</v>
      </c>
      <c r="O148">
        <v>1</v>
      </c>
      <c r="P148" t="s">
        <v>15</v>
      </c>
      <c r="Q148">
        <v>200</v>
      </c>
      <c r="R148">
        <v>10</v>
      </c>
      <c r="S148" t="s">
        <v>13</v>
      </c>
      <c r="T148" t="s">
        <v>13</v>
      </c>
      <c r="U148" s="1">
        <f>Table1[[#This Row],[End Datetime]]-Table1[[#This Row],[Start Datetime]]</f>
        <v>0.93472222222044365</v>
      </c>
    </row>
    <row r="149" spans="1:21" x14ac:dyDescent="0.2">
      <c r="A149" t="s">
        <v>235</v>
      </c>
      <c r="B149" s="2">
        <v>3</v>
      </c>
      <c r="C149" s="2">
        <v>10</v>
      </c>
      <c r="D149" s="8">
        <v>44473.631944444445</v>
      </c>
      <c r="E149" s="8">
        <v>44474.625</v>
      </c>
      <c r="F149" s="1">
        <v>0.63194444444444442</v>
      </c>
      <c r="G149" s="1">
        <v>0.625</v>
      </c>
      <c r="H149" t="s">
        <v>11</v>
      </c>
      <c r="I149">
        <v>54.068339999999999</v>
      </c>
      <c r="J149">
        <v>-124.76871</v>
      </c>
      <c r="K149" t="s">
        <v>12</v>
      </c>
      <c r="L149" t="s">
        <v>33</v>
      </c>
      <c r="M149" t="s">
        <v>13</v>
      </c>
      <c r="N149">
        <v>0</v>
      </c>
      <c r="O149">
        <v>0</v>
      </c>
      <c r="P149" t="s">
        <v>15</v>
      </c>
      <c r="Q149">
        <v>200</v>
      </c>
      <c r="R149">
        <v>6</v>
      </c>
      <c r="S149" t="s">
        <v>13</v>
      </c>
      <c r="T149" t="s">
        <v>236</v>
      </c>
      <c r="U149" s="1">
        <f>Table1[[#This Row],[End Datetime]]-Table1[[#This Row],[Start Datetime]]</f>
        <v>0.99305555555474712</v>
      </c>
    </row>
    <row r="150" spans="1:21" x14ac:dyDescent="0.2">
      <c r="A150" t="s">
        <v>228</v>
      </c>
      <c r="B150" s="2">
        <v>3</v>
      </c>
      <c r="C150" s="2">
        <v>10</v>
      </c>
      <c r="D150" s="8">
        <v>44473.583333333336</v>
      </c>
      <c r="E150" s="8">
        <v>44474.517361111109</v>
      </c>
      <c r="F150" s="1">
        <v>0.58333333333333337</v>
      </c>
      <c r="G150" s="1">
        <v>0.51736111111111105</v>
      </c>
      <c r="H150" t="s">
        <v>11</v>
      </c>
      <c r="I150">
        <v>54.08925</v>
      </c>
      <c r="J150">
        <v>-124.81429</v>
      </c>
      <c r="K150" t="s">
        <v>12</v>
      </c>
      <c r="L150" t="s">
        <v>33</v>
      </c>
      <c r="M150" t="s">
        <v>303</v>
      </c>
      <c r="N150">
        <v>1</v>
      </c>
      <c r="O150">
        <v>0</v>
      </c>
      <c r="P150" t="s">
        <v>15</v>
      </c>
      <c r="Q150">
        <v>200</v>
      </c>
      <c r="R150">
        <v>7</v>
      </c>
      <c r="S150" t="s">
        <v>13</v>
      </c>
      <c r="T150" t="s">
        <v>13</v>
      </c>
      <c r="U150" s="1">
        <f>Table1[[#This Row],[End Datetime]]-Table1[[#This Row],[Start Datetime]]</f>
        <v>0.93402777777373558</v>
      </c>
    </row>
    <row r="151" spans="1:21" x14ac:dyDescent="0.2">
      <c r="A151" t="s">
        <v>222</v>
      </c>
      <c r="B151" s="2">
        <v>3</v>
      </c>
      <c r="C151" s="2">
        <v>10</v>
      </c>
      <c r="D151" s="11">
        <v>44473.555555555555</v>
      </c>
      <c r="E151" s="11">
        <v>44474.496527777781</v>
      </c>
      <c r="F151" s="1">
        <v>0.55555555555555558</v>
      </c>
      <c r="G151" s="1">
        <v>0.49652777777777773</v>
      </c>
      <c r="H151" t="s">
        <v>11</v>
      </c>
      <c r="I151">
        <v>54.094259999999998</v>
      </c>
      <c r="J151">
        <v>-124.83788</v>
      </c>
      <c r="K151" t="s">
        <v>12</v>
      </c>
      <c r="L151" t="s">
        <v>33</v>
      </c>
      <c r="M151" t="s">
        <v>223</v>
      </c>
      <c r="N151">
        <v>1</v>
      </c>
      <c r="O151">
        <v>0</v>
      </c>
      <c r="P151" t="s">
        <v>15</v>
      </c>
      <c r="Q151">
        <v>200</v>
      </c>
      <c r="R151">
        <v>3</v>
      </c>
      <c r="S151" t="s">
        <v>13</v>
      </c>
      <c r="T151" t="s">
        <v>13</v>
      </c>
      <c r="U151" s="1">
        <f>Table1[[#This Row],[End Datetime]]-Table1[[#This Row],[Start Datetime]]</f>
        <v>0.94097222222626442</v>
      </c>
    </row>
    <row r="152" spans="1:21" x14ac:dyDescent="0.2">
      <c r="A152" t="s">
        <v>231</v>
      </c>
      <c r="B152" s="2">
        <v>3</v>
      </c>
      <c r="C152" s="2">
        <v>10</v>
      </c>
      <c r="D152" s="11">
        <v>44473.597222222219</v>
      </c>
      <c r="E152" s="11">
        <v>44474.604166666664</v>
      </c>
      <c r="F152" s="1">
        <v>0.59722222222222221</v>
      </c>
      <c r="G152" s="1">
        <v>0.60416666666666663</v>
      </c>
      <c r="H152" t="s">
        <v>11</v>
      </c>
      <c r="I152">
        <v>54.079540000000001</v>
      </c>
      <c r="J152">
        <v>-124.80509000000001</v>
      </c>
      <c r="K152" t="s">
        <v>12</v>
      </c>
      <c r="L152" t="s">
        <v>33</v>
      </c>
      <c r="M152" t="s">
        <v>20</v>
      </c>
      <c r="N152">
        <v>1</v>
      </c>
      <c r="O152">
        <v>1</v>
      </c>
      <c r="P152" t="s">
        <v>15</v>
      </c>
      <c r="Q152">
        <v>200</v>
      </c>
      <c r="R152">
        <v>4.5</v>
      </c>
      <c r="S152" t="s">
        <v>13</v>
      </c>
      <c r="T152" t="s">
        <v>13</v>
      </c>
      <c r="U152" s="1">
        <f>Table1[[#This Row],[End Datetime]]-Table1[[#This Row],[Start Datetime]]</f>
        <v>1.0069444444452529</v>
      </c>
    </row>
    <row r="153" spans="1:21" x14ac:dyDescent="0.2">
      <c r="A153" t="s">
        <v>219</v>
      </c>
      <c r="B153" s="2">
        <v>3</v>
      </c>
      <c r="C153" s="2">
        <v>10</v>
      </c>
      <c r="D153" s="11">
        <v>44473.541666666664</v>
      </c>
      <c r="E153" s="11">
        <v>44474.486111111109</v>
      </c>
      <c r="F153" s="1">
        <v>0.54166666666666663</v>
      </c>
      <c r="G153" s="1">
        <v>0.4861111111111111</v>
      </c>
      <c r="H153" t="s">
        <v>11</v>
      </c>
      <c r="I153">
        <v>54.100068</v>
      </c>
      <c r="J153">
        <v>-124.8396</v>
      </c>
      <c r="K153" t="s">
        <v>12</v>
      </c>
      <c r="L153" t="s">
        <v>33</v>
      </c>
      <c r="M153" t="s">
        <v>13</v>
      </c>
      <c r="N153">
        <v>0</v>
      </c>
      <c r="O153">
        <v>0</v>
      </c>
      <c r="P153" t="s">
        <v>15</v>
      </c>
      <c r="Q153">
        <v>200</v>
      </c>
      <c r="R153">
        <v>1.2</v>
      </c>
      <c r="S153" t="s">
        <v>13</v>
      </c>
      <c r="T153" t="s">
        <v>220</v>
      </c>
      <c r="U153" s="1">
        <f>Table1[[#This Row],[End Datetime]]-Table1[[#This Row],[Start Datetime]]</f>
        <v>0.94444444444525288</v>
      </c>
    </row>
    <row r="154" spans="1:21" x14ac:dyDescent="0.2">
      <c r="A154" t="s">
        <v>233</v>
      </c>
      <c r="B154" s="2">
        <v>3</v>
      </c>
      <c r="C154" s="2">
        <v>10</v>
      </c>
      <c r="D154" s="8">
        <v>44473.621527777781</v>
      </c>
      <c r="E154" s="8">
        <v>44474.614583333336</v>
      </c>
      <c r="F154" s="1">
        <v>0.62152777777777779</v>
      </c>
      <c r="G154" s="1">
        <v>0.61458333333333337</v>
      </c>
      <c r="H154" t="s">
        <v>11</v>
      </c>
      <c r="I154">
        <v>54.071109999999997</v>
      </c>
      <c r="J154">
        <v>-124.75709000000001</v>
      </c>
      <c r="K154" t="s">
        <v>12</v>
      </c>
      <c r="L154" t="s">
        <v>33</v>
      </c>
      <c r="M154" t="s">
        <v>13</v>
      </c>
      <c r="N154">
        <v>0</v>
      </c>
      <c r="O154">
        <v>0</v>
      </c>
      <c r="P154" t="s">
        <v>15</v>
      </c>
      <c r="Q154">
        <v>200</v>
      </c>
      <c r="R154">
        <v>6</v>
      </c>
      <c r="S154" t="s">
        <v>13</v>
      </c>
      <c r="T154" t="s">
        <v>13</v>
      </c>
      <c r="U154" s="1">
        <f>Table1[[#This Row],[End Datetime]]-Table1[[#This Row],[Start Datetime]]</f>
        <v>0.99305555555474712</v>
      </c>
    </row>
    <row r="155" spans="1:21" x14ac:dyDescent="0.2">
      <c r="A155" t="s">
        <v>224</v>
      </c>
      <c r="B155" s="2">
        <v>3</v>
      </c>
      <c r="C155" s="2">
        <v>10</v>
      </c>
      <c r="D155" s="8">
        <v>44473.559027777781</v>
      </c>
      <c r="E155" s="8">
        <v>44474.5</v>
      </c>
      <c r="F155" s="1">
        <v>0.55902777777777779</v>
      </c>
      <c r="G155" s="1">
        <v>0.5</v>
      </c>
      <c r="H155" t="s">
        <v>11</v>
      </c>
      <c r="I155">
        <v>54.100580000000001</v>
      </c>
      <c r="J155">
        <v>-124.83308</v>
      </c>
      <c r="K155" t="s">
        <v>12</v>
      </c>
      <c r="L155" t="s">
        <v>33</v>
      </c>
      <c r="M155" t="s">
        <v>303</v>
      </c>
      <c r="N155">
        <v>3</v>
      </c>
      <c r="O155">
        <v>0</v>
      </c>
      <c r="P155" t="s">
        <v>15</v>
      </c>
      <c r="Q155">
        <v>200</v>
      </c>
      <c r="R155">
        <v>4</v>
      </c>
      <c r="S155" t="s">
        <v>13</v>
      </c>
      <c r="T155" t="s">
        <v>13</v>
      </c>
      <c r="U155" s="1">
        <f>Table1[[#This Row],[End Datetime]]-Table1[[#This Row],[Start Datetime]]</f>
        <v>0.94097222221898846</v>
      </c>
    </row>
    <row r="156" spans="1:21" x14ac:dyDescent="0.2">
      <c r="A156" t="s">
        <v>221</v>
      </c>
      <c r="B156" s="2">
        <v>3</v>
      </c>
      <c r="C156" s="2">
        <v>10</v>
      </c>
      <c r="D156" s="8">
        <v>44473.552083333336</v>
      </c>
      <c r="E156" s="8">
        <v>44474.489583333336</v>
      </c>
      <c r="F156" s="1">
        <v>0.55208333333333337</v>
      </c>
      <c r="G156" s="1">
        <v>0.48958333333333331</v>
      </c>
      <c r="H156" t="s">
        <v>11</v>
      </c>
      <c r="I156">
        <v>54.098329999999997</v>
      </c>
      <c r="J156">
        <v>-124.84283000000001</v>
      </c>
      <c r="K156" t="s">
        <v>12</v>
      </c>
      <c r="L156" t="s">
        <v>33</v>
      </c>
      <c r="M156" t="s">
        <v>13</v>
      </c>
      <c r="N156">
        <v>0</v>
      </c>
      <c r="O156">
        <v>0</v>
      </c>
      <c r="P156" t="s">
        <v>15</v>
      </c>
      <c r="Q156">
        <v>200</v>
      </c>
      <c r="R156">
        <v>2.8</v>
      </c>
      <c r="S156" t="s">
        <v>13</v>
      </c>
      <c r="T156" t="s">
        <v>13</v>
      </c>
      <c r="U156" s="1">
        <f>Table1[[#This Row],[End Datetime]]-Table1[[#This Row],[Start Datetime]]</f>
        <v>0.9375</v>
      </c>
    </row>
    <row r="157" spans="1:21" x14ac:dyDescent="0.2">
      <c r="A157" t="s">
        <v>237</v>
      </c>
      <c r="B157" s="2">
        <v>3</v>
      </c>
      <c r="C157" s="2">
        <v>10</v>
      </c>
      <c r="D157" s="8">
        <v>44473.645833333336</v>
      </c>
      <c r="E157" s="8">
        <v>44474.628472222219</v>
      </c>
      <c r="F157" s="1">
        <v>0.64583333333333337</v>
      </c>
      <c r="G157" s="1">
        <v>0.62847222222222221</v>
      </c>
      <c r="H157" t="s">
        <v>11</v>
      </c>
      <c r="I157">
        <v>54.063609999999997</v>
      </c>
      <c r="J157">
        <v>-124.78044</v>
      </c>
      <c r="K157" t="s">
        <v>12</v>
      </c>
      <c r="L157" t="s">
        <v>33</v>
      </c>
      <c r="M157" t="s">
        <v>13</v>
      </c>
      <c r="N157">
        <v>0</v>
      </c>
      <c r="O157">
        <v>0</v>
      </c>
      <c r="P157" t="s">
        <v>15</v>
      </c>
      <c r="Q157">
        <v>200</v>
      </c>
      <c r="R157">
        <v>9</v>
      </c>
      <c r="S157" t="s">
        <v>13</v>
      </c>
      <c r="T157" t="s">
        <v>13</v>
      </c>
      <c r="U157" s="1">
        <f>Table1[[#This Row],[End Datetime]]-Table1[[#This Row],[Start Datetime]]</f>
        <v>0.98263888888322981</v>
      </c>
    </row>
    <row r="158" spans="1:21" x14ac:dyDescent="0.2">
      <c r="A158" t="s">
        <v>226</v>
      </c>
      <c r="B158" s="2">
        <v>3</v>
      </c>
      <c r="C158" s="2">
        <v>10</v>
      </c>
      <c r="D158" s="8">
        <v>44473.569444444445</v>
      </c>
      <c r="E158" s="8">
        <v>44474.513888888891</v>
      </c>
      <c r="F158" s="1">
        <v>0.56944444444444442</v>
      </c>
      <c r="G158" s="1">
        <v>0.51388888888888895</v>
      </c>
      <c r="H158" t="s">
        <v>11</v>
      </c>
      <c r="I158">
        <v>54.092100000000002</v>
      </c>
      <c r="J158">
        <v>-124.77593</v>
      </c>
      <c r="K158" t="s">
        <v>12</v>
      </c>
      <c r="L158" t="s">
        <v>33</v>
      </c>
      <c r="M158" t="s">
        <v>13</v>
      </c>
      <c r="N158">
        <v>0</v>
      </c>
      <c r="O158">
        <v>0</v>
      </c>
      <c r="P158" t="s">
        <v>15</v>
      </c>
      <c r="Q158">
        <v>200</v>
      </c>
      <c r="R158">
        <v>7.5</v>
      </c>
      <c r="S158" t="s">
        <v>13</v>
      </c>
      <c r="T158" t="s">
        <v>13</v>
      </c>
      <c r="U158" s="1">
        <f>Table1[[#This Row],[End Datetime]]-Table1[[#This Row],[Start Datetime]]</f>
        <v>0.94444444444525288</v>
      </c>
    </row>
    <row r="159" spans="1:21" x14ac:dyDescent="0.2">
      <c r="A159" t="s">
        <v>133</v>
      </c>
      <c r="B159" s="2">
        <v>4</v>
      </c>
      <c r="C159" s="2">
        <v>7</v>
      </c>
      <c r="D159" s="8">
        <v>44402.71597222222</v>
      </c>
      <c r="E159" s="8">
        <v>44403.398611111108</v>
      </c>
      <c r="F159" s="1">
        <v>0.71597222222222223</v>
      </c>
      <c r="G159" s="1">
        <v>0.39861111111111108</v>
      </c>
      <c r="H159" t="s">
        <v>11</v>
      </c>
      <c r="I159">
        <v>54.034199999999998</v>
      </c>
      <c r="J159">
        <v>-124.491533</v>
      </c>
      <c r="K159" t="s">
        <v>12</v>
      </c>
      <c r="L159" t="s">
        <v>33</v>
      </c>
      <c r="M159" t="s">
        <v>223</v>
      </c>
      <c r="N159">
        <v>1</v>
      </c>
      <c r="O159">
        <v>0</v>
      </c>
      <c r="P159" t="s">
        <v>92</v>
      </c>
      <c r="Q159" t="s">
        <v>13</v>
      </c>
      <c r="R159">
        <v>10.4</v>
      </c>
      <c r="S159" t="s">
        <v>13</v>
      </c>
      <c r="T159" t="s">
        <v>13</v>
      </c>
      <c r="U159" s="1">
        <f>Table1[[#This Row],[End Datetime]]-Table1[[#This Row],[Start Datetime]]</f>
        <v>0.68263888888759539</v>
      </c>
    </row>
    <row r="160" spans="1:21" x14ac:dyDescent="0.2">
      <c r="A160" t="s">
        <v>181</v>
      </c>
      <c r="B160" s="2">
        <v>4</v>
      </c>
      <c r="C160" s="7">
        <v>6</v>
      </c>
      <c r="D160" s="9">
        <v>44363.634027777778</v>
      </c>
      <c r="E160" s="9">
        <v>44364.666666666664</v>
      </c>
      <c r="F160" s="1">
        <v>0.63402777777777775</v>
      </c>
      <c r="G160" s="1">
        <v>0.66666666666666663</v>
      </c>
      <c r="H160" t="s">
        <v>11</v>
      </c>
      <c r="I160">
        <v>54.06814</v>
      </c>
      <c r="J160">
        <v>-124.82152000000001</v>
      </c>
      <c r="K160" t="s">
        <v>12</v>
      </c>
      <c r="L160" t="s">
        <v>33</v>
      </c>
      <c r="M160" t="s">
        <v>13</v>
      </c>
      <c r="N160">
        <v>0</v>
      </c>
      <c r="O160">
        <v>0</v>
      </c>
      <c r="P160" t="s">
        <v>64</v>
      </c>
      <c r="Q160">
        <v>125</v>
      </c>
      <c r="R160">
        <v>8</v>
      </c>
      <c r="S160" t="s">
        <v>13</v>
      </c>
      <c r="T160" t="s">
        <v>13</v>
      </c>
      <c r="U160" s="1">
        <f>Table1[[#This Row],[End Datetime]]-Table1[[#This Row],[Start Datetime]]</f>
        <v>1.0326388888861402</v>
      </c>
    </row>
    <row r="161" spans="1:21" x14ac:dyDescent="0.2">
      <c r="A161" t="s">
        <v>179</v>
      </c>
      <c r="B161" s="2">
        <v>4</v>
      </c>
      <c r="C161" s="2">
        <v>6</v>
      </c>
      <c r="D161" s="9">
        <v>44363.628472222219</v>
      </c>
      <c r="E161" s="9">
        <v>44364.65625</v>
      </c>
      <c r="F161" s="1">
        <v>0.62847222222222221</v>
      </c>
      <c r="G161" s="1">
        <v>0.65625</v>
      </c>
      <c r="H161" t="s">
        <v>11</v>
      </c>
      <c r="I161">
        <v>54.071980000000003</v>
      </c>
      <c r="J161">
        <v>-124.8351</v>
      </c>
      <c r="K161" t="s">
        <v>12</v>
      </c>
      <c r="L161" t="s">
        <v>33</v>
      </c>
      <c r="M161" t="s">
        <v>20</v>
      </c>
      <c r="N161">
        <v>1</v>
      </c>
      <c r="O161">
        <v>1</v>
      </c>
      <c r="P161" t="s">
        <v>15</v>
      </c>
      <c r="Q161">
        <v>350</v>
      </c>
      <c r="R161">
        <v>8</v>
      </c>
      <c r="S161" t="s">
        <v>13</v>
      </c>
      <c r="T161" t="s">
        <v>13</v>
      </c>
      <c r="U161" s="1">
        <f>Table1[[#This Row],[End Datetime]]-Table1[[#This Row],[Start Datetime]]</f>
        <v>1.0277777777810115</v>
      </c>
    </row>
    <row r="162" spans="1:21" x14ac:dyDescent="0.2">
      <c r="A162" t="s">
        <v>154</v>
      </c>
      <c r="B162" s="2">
        <v>4</v>
      </c>
      <c r="C162" s="2">
        <v>7</v>
      </c>
      <c r="D162" s="8">
        <v>44403.524305555555</v>
      </c>
      <c r="E162" s="8">
        <v>44404.552777777775</v>
      </c>
      <c r="F162" s="1">
        <v>0.52430555555555558</v>
      </c>
      <c r="G162" s="1">
        <v>0.55277777777777781</v>
      </c>
      <c r="H162" t="s">
        <v>11</v>
      </c>
      <c r="I162">
        <v>54.042366000000001</v>
      </c>
      <c r="J162">
        <v>-124.51125399999999</v>
      </c>
      <c r="K162" t="s">
        <v>12</v>
      </c>
      <c r="L162" t="s">
        <v>33</v>
      </c>
      <c r="M162" t="s">
        <v>13</v>
      </c>
      <c r="N162" t="s">
        <v>13</v>
      </c>
      <c r="O162">
        <v>0</v>
      </c>
      <c r="P162" t="s">
        <v>150</v>
      </c>
      <c r="Q162" t="s">
        <v>13</v>
      </c>
      <c r="R162">
        <v>14.1</v>
      </c>
      <c r="S162">
        <v>10.7</v>
      </c>
      <c r="T162" t="s">
        <v>151</v>
      </c>
      <c r="U162" s="1">
        <f>Table1[[#This Row],[End Datetime]]-Table1[[#This Row],[Start Datetime]]</f>
        <v>1.0284722222204437</v>
      </c>
    </row>
    <row r="163" spans="1:21" x14ac:dyDescent="0.2">
      <c r="A163" t="s">
        <v>178</v>
      </c>
      <c r="B163" s="2">
        <v>4</v>
      </c>
      <c r="C163" s="2">
        <v>6</v>
      </c>
      <c r="D163" s="8">
        <v>44363.588194444441</v>
      </c>
      <c r="E163" s="8">
        <v>44364.65347222222</v>
      </c>
      <c r="F163" s="1">
        <v>0.58819444444444446</v>
      </c>
      <c r="G163" s="1">
        <v>0.65347222222222223</v>
      </c>
      <c r="H163" t="s">
        <v>11</v>
      </c>
      <c r="I163">
        <v>54.073349999999998</v>
      </c>
      <c r="J163">
        <v>-124.84739999999999</v>
      </c>
      <c r="K163" t="s">
        <v>12</v>
      </c>
      <c r="L163" t="s">
        <v>33</v>
      </c>
      <c r="M163" t="s">
        <v>13</v>
      </c>
      <c r="N163">
        <v>0</v>
      </c>
      <c r="O163">
        <v>0</v>
      </c>
      <c r="P163" t="s">
        <v>64</v>
      </c>
      <c r="Q163">
        <v>250</v>
      </c>
      <c r="R163">
        <v>9</v>
      </c>
      <c r="S163" t="s">
        <v>13</v>
      </c>
      <c r="T163" t="s">
        <v>13</v>
      </c>
      <c r="U163" s="1">
        <f>Table1[[#This Row],[End Datetime]]-Table1[[#This Row],[Start Datetime]]</f>
        <v>1.0652777777795563</v>
      </c>
    </row>
    <row r="164" spans="1:21" x14ac:dyDescent="0.2">
      <c r="A164" t="s">
        <v>99</v>
      </c>
      <c r="B164" s="2">
        <v>4</v>
      </c>
      <c r="C164" s="15">
        <v>7</v>
      </c>
      <c r="D164" s="18">
        <v>44405.481944444444</v>
      </c>
      <c r="E164" s="18">
        <v>44406.542361111111</v>
      </c>
      <c r="F164" s="1">
        <v>0.48194444444444445</v>
      </c>
      <c r="G164" s="1">
        <v>0.54236111111111118</v>
      </c>
      <c r="H164" t="s">
        <v>11</v>
      </c>
      <c r="I164">
        <v>54.03331</v>
      </c>
      <c r="J164">
        <v>-124.53232800000001</v>
      </c>
      <c r="K164" t="s">
        <v>12</v>
      </c>
      <c r="L164" t="s">
        <v>33</v>
      </c>
      <c r="M164" t="s">
        <v>13</v>
      </c>
      <c r="N164" t="s">
        <v>13</v>
      </c>
      <c r="O164">
        <v>0</v>
      </c>
      <c r="P164" t="s">
        <v>92</v>
      </c>
      <c r="Q164" t="s">
        <v>13</v>
      </c>
      <c r="R164">
        <v>8.6</v>
      </c>
      <c r="S164">
        <v>13.7</v>
      </c>
      <c r="T164" t="s">
        <v>100</v>
      </c>
      <c r="U164" s="1">
        <f>Table1[[#This Row],[End Datetime]]-Table1[[#This Row],[Start Datetime]]</f>
        <v>1.0604166666671517</v>
      </c>
    </row>
    <row r="165" spans="1:21" x14ac:dyDescent="0.2">
      <c r="A165" t="s">
        <v>164</v>
      </c>
      <c r="B165" s="2">
        <v>4</v>
      </c>
      <c r="C165" s="2">
        <v>7</v>
      </c>
      <c r="D165" s="8">
        <v>44404.552777777775</v>
      </c>
      <c r="E165" s="8">
        <v>44405.417361111111</v>
      </c>
      <c r="F165" s="1">
        <v>0.55277777777777781</v>
      </c>
      <c r="G165" s="1">
        <v>0.41736111111111113</v>
      </c>
      <c r="H165" t="s">
        <v>11</v>
      </c>
      <c r="I165">
        <v>54.042569999999998</v>
      </c>
      <c r="J165">
        <v>-124.511549</v>
      </c>
      <c r="K165" t="s">
        <v>12</v>
      </c>
      <c r="L165" t="s">
        <v>33</v>
      </c>
      <c r="M165" t="s">
        <v>20</v>
      </c>
      <c r="N165">
        <v>1</v>
      </c>
      <c r="O165">
        <v>1</v>
      </c>
      <c r="P165" t="s">
        <v>150</v>
      </c>
      <c r="Q165" t="s">
        <v>13</v>
      </c>
      <c r="R165">
        <v>9.9</v>
      </c>
      <c r="S165">
        <v>16.899999999999999</v>
      </c>
      <c r="T165" t="s">
        <v>165</v>
      </c>
      <c r="U165" s="1">
        <f>Table1[[#This Row],[End Datetime]]-Table1[[#This Row],[Start Datetime]]</f>
        <v>0.86458333333575865</v>
      </c>
    </row>
    <row r="166" spans="1:21" x14ac:dyDescent="0.2">
      <c r="A166" t="s">
        <v>137</v>
      </c>
      <c r="B166" s="2">
        <v>4</v>
      </c>
      <c r="C166" s="2">
        <v>7</v>
      </c>
      <c r="D166" s="8">
        <v>44402.791666666664</v>
      </c>
      <c r="E166" s="8">
        <v>44403.45416666667</v>
      </c>
      <c r="F166" s="1">
        <v>0.79166666666666663</v>
      </c>
      <c r="G166" s="1">
        <v>0.45416666666666666</v>
      </c>
      <c r="H166" t="s">
        <v>11</v>
      </c>
      <c r="I166">
        <v>54.033261000000003</v>
      </c>
      <c r="J166">
        <v>-124.53287400000001</v>
      </c>
      <c r="K166" t="s">
        <v>12</v>
      </c>
      <c r="L166" t="s">
        <v>33</v>
      </c>
      <c r="M166" t="s">
        <v>13</v>
      </c>
      <c r="N166" t="s">
        <v>13</v>
      </c>
      <c r="O166">
        <v>0</v>
      </c>
      <c r="P166" t="s">
        <v>92</v>
      </c>
      <c r="Q166" t="s">
        <v>13</v>
      </c>
      <c r="R166">
        <v>7.8</v>
      </c>
      <c r="S166">
        <v>15.5</v>
      </c>
      <c r="T166" t="s">
        <v>138</v>
      </c>
      <c r="U166" s="1">
        <f>Table1[[#This Row],[End Datetime]]-Table1[[#This Row],[Start Datetime]]</f>
        <v>0.66250000000582077</v>
      </c>
    </row>
    <row r="167" spans="1:21" x14ac:dyDescent="0.2">
      <c r="A167" t="s">
        <v>137</v>
      </c>
      <c r="B167" s="2">
        <v>4</v>
      </c>
      <c r="C167" s="2">
        <v>7</v>
      </c>
      <c r="D167" s="8">
        <v>44403.456944444442</v>
      </c>
      <c r="E167" s="8">
        <v>44404.586111111108</v>
      </c>
      <c r="F167" s="1">
        <v>0.45694444444444443</v>
      </c>
      <c r="G167" s="1">
        <v>0.58611111111111114</v>
      </c>
      <c r="H167" t="s">
        <v>11</v>
      </c>
      <c r="I167">
        <v>54.033262000000001</v>
      </c>
      <c r="J167">
        <v>-124.532875</v>
      </c>
      <c r="K167" t="s">
        <v>12</v>
      </c>
      <c r="L167" t="s">
        <v>33</v>
      </c>
      <c r="M167" t="s">
        <v>13</v>
      </c>
      <c r="N167">
        <v>0</v>
      </c>
      <c r="O167">
        <v>0</v>
      </c>
      <c r="P167" t="s">
        <v>92</v>
      </c>
      <c r="Q167" t="s">
        <v>13</v>
      </c>
      <c r="R167">
        <v>7.8</v>
      </c>
      <c r="S167" t="s">
        <v>13</v>
      </c>
      <c r="T167" t="s">
        <v>146</v>
      </c>
      <c r="U167" s="1">
        <f>Table1[[#This Row],[End Datetime]]-Table1[[#This Row],[Start Datetime]]</f>
        <v>1.1291666666656965</v>
      </c>
    </row>
    <row r="168" spans="1:21" x14ac:dyDescent="0.2">
      <c r="A168" t="s">
        <v>139</v>
      </c>
      <c r="B168" s="2">
        <v>4</v>
      </c>
      <c r="C168" s="2">
        <v>7</v>
      </c>
      <c r="D168" s="8">
        <v>44402.800694444442</v>
      </c>
      <c r="E168" s="8">
        <v>44403.466666666667</v>
      </c>
      <c r="F168" s="1">
        <v>0.80069444444444438</v>
      </c>
      <c r="G168" s="1">
        <v>0.46666666666666662</v>
      </c>
      <c r="H168" t="s">
        <v>11</v>
      </c>
      <c r="I168">
        <v>54.034391999999997</v>
      </c>
      <c r="J168">
        <v>-124.514966</v>
      </c>
      <c r="K168" t="s">
        <v>12</v>
      </c>
      <c r="L168" t="s">
        <v>33</v>
      </c>
      <c r="M168" t="s">
        <v>13</v>
      </c>
      <c r="N168" t="s">
        <v>13</v>
      </c>
      <c r="O168">
        <v>0</v>
      </c>
      <c r="P168" t="s">
        <v>92</v>
      </c>
      <c r="Q168" t="s">
        <v>13</v>
      </c>
      <c r="R168">
        <v>13.8</v>
      </c>
      <c r="S168">
        <v>12</v>
      </c>
      <c r="T168" t="s">
        <v>151</v>
      </c>
      <c r="U168" s="1">
        <f>Table1[[#This Row],[End Datetime]]-Table1[[#This Row],[Start Datetime]]</f>
        <v>0.66597222222480923</v>
      </c>
    </row>
    <row r="169" spans="1:21" x14ac:dyDescent="0.2">
      <c r="A169" t="s">
        <v>180</v>
      </c>
      <c r="B169" s="2">
        <v>4</v>
      </c>
      <c r="C169" s="2">
        <v>6</v>
      </c>
      <c r="D169" s="9">
        <v>44363.620833333334</v>
      </c>
      <c r="E169" s="9">
        <v>44364.689583333333</v>
      </c>
      <c r="F169" s="1">
        <v>0.62083333333333335</v>
      </c>
      <c r="G169" s="1">
        <v>0.68958333333333333</v>
      </c>
      <c r="H169" t="s">
        <v>11</v>
      </c>
      <c r="I169">
        <v>54.062130000000003</v>
      </c>
      <c r="J169">
        <v>-124.85680000000001</v>
      </c>
      <c r="K169" t="s">
        <v>12</v>
      </c>
      <c r="L169" t="s">
        <v>33</v>
      </c>
      <c r="M169" t="s">
        <v>13</v>
      </c>
      <c r="N169">
        <v>0</v>
      </c>
      <c r="O169">
        <v>0</v>
      </c>
      <c r="P169" t="s">
        <v>15</v>
      </c>
      <c r="Q169">
        <v>150</v>
      </c>
      <c r="R169">
        <v>6</v>
      </c>
      <c r="S169" t="s">
        <v>13</v>
      </c>
      <c r="T169" t="s">
        <v>13</v>
      </c>
      <c r="U169" s="1">
        <f>Table1[[#This Row],[End Datetime]]-Table1[[#This Row],[Start Datetime]]</f>
        <v>1.0687499999985448</v>
      </c>
    </row>
    <row r="170" spans="1:21" x14ac:dyDescent="0.2">
      <c r="A170" t="s">
        <v>147</v>
      </c>
      <c r="B170" s="2">
        <v>4</v>
      </c>
      <c r="C170" s="2">
        <v>7</v>
      </c>
      <c r="D170" s="8">
        <v>44403.470138888886</v>
      </c>
      <c r="E170" s="8">
        <v>44404.594444444447</v>
      </c>
      <c r="F170" s="1">
        <v>0.47013888888888888</v>
      </c>
      <c r="G170" s="1">
        <v>0.59444444444444444</v>
      </c>
      <c r="H170" t="s">
        <v>11</v>
      </c>
      <c r="I170">
        <v>54.034072999999999</v>
      </c>
      <c r="J170">
        <v>-124.514183</v>
      </c>
      <c r="K170" t="s">
        <v>12</v>
      </c>
      <c r="L170" t="s">
        <v>33</v>
      </c>
      <c r="M170" t="s">
        <v>13</v>
      </c>
      <c r="N170">
        <v>0</v>
      </c>
      <c r="O170">
        <v>0</v>
      </c>
      <c r="P170" t="s">
        <v>92</v>
      </c>
      <c r="Q170" t="s">
        <v>13</v>
      </c>
      <c r="R170">
        <v>10.1</v>
      </c>
      <c r="S170" t="s">
        <v>13</v>
      </c>
      <c r="T170" t="s">
        <v>148</v>
      </c>
      <c r="U170" s="1">
        <f>Table1[[#This Row],[End Datetime]]-Table1[[#This Row],[Start Datetime]]</f>
        <v>1.1243055555605679</v>
      </c>
    </row>
    <row r="171" spans="1:21" x14ac:dyDescent="0.2">
      <c r="A171" t="s">
        <v>175</v>
      </c>
      <c r="B171" s="2">
        <v>4</v>
      </c>
      <c r="C171" s="2">
        <v>6</v>
      </c>
      <c r="D171" s="18">
        <v>44363.5625</v>
      </c>
      <c r="E171" s="18">
        <v>44364.635416666664</v>
      </c>
      <c r="F171" s="1">
        <v>0.5625</v>
      </c>
      <c r="G171" s="1">
        <v>0.63541666666666663</v>
      </c>
      <c r="H171" t="s">
        <v>11</v>
      </c>
      <c r="I171">
        <v>54.063850000000002</v>
      </c>
      <c r="J171">
        <v>-124.89259</v>
      </c>
      <c r="K171" t="s">
        <v>12</v>
      </c>
      <c r="L171" t="s">
        <v>33</v>
      </c>
      <c r="M171" t="s">
        <v>13</v>
      </c>
      <c r="N171">
        <v>0</v>
      </c>
      <c r="O171">
        <v>0</v>
      </c>
      <c r="P171" t="s">
        <v>64</v>
      </c>
      <c r="Q171">
        <v>100</v>
      </c>
      <c r="R171">
        <v>5</v>
      </c>
      <c r="S171" t="s">
        <v>13</v>
      </c>
      <c r="T171" t="s">
        <v>24</v>
      </c>
      <c r="U171" s="1">
        <f>Table1[[#This Row],[End Datetime]]-Table1[[#This Row],[Start Datetime]]</f>
        <v>1.0729166666642413</v>
      </c>
    </row>
    <row r="172" spans="1:21" x14ac:dyDescent="0.2">
      <c r="A172" t="s">
        <v>136</v>
      </c>
      <c r="B172" s="2">
        <v>4</v>
      </c>
      <c r="C172" s="2">
        <v>7</v>
      </c>
      <c r="D172" s="8">
        <v>44402.786111111112</v>
      </c>
      <c r="E172" s="8">
        <v>44403.444444444445</v>
      </c>
      <c r="F172" s="1">
        <v>0.78611111111111109</v>
      </c>
      <c r="G172" s="1">
        <v>0.44444444444444442</v>
      </c>
      <c r="H172" t="s">
        <v>11</v>
      </c>
      <c r="I172">
        <v>54.034131000000002</v>
      </c>
      <c r="J172">
        <v>-124.525215</v>
      </c>
      <c r="K172" t="s">
        <v>12</v>
      </c>
      <c r="L172" t="s">
        <v>33</v>
      </c>
      <c r="M172" t="s">
        <v>13</v>
      </c>
      <c r="N172" t="s">
        <v>13</v>
      </c>
      <c r="O172">
        <v>0</v>
      </c>
      <c r="P172" t="s">
        <v>92</v>
      </c>
      <c r="Q172" t="s">
        <v>13</v>
      </c>
      <c r="R172">
        <v>12.7</v>
      </c>
      <c r="S172">
        <v>12.2</v>
      </c>
      <c r="T172" t="s">
        <v>151</v>
      </c>
      <c r="U172" s="1">
        <f>Table1[[#This Row],[End Datetime]]-Table1[[#This Row],[Start Datetime]]</f>
        <v>0.65833333333284827</v>
      </c>
    </row>
    <row r="173" spans="1:21" x14ac:dyDescent="0.2">
      <c r="A173" t="s">
        <v>144</v>
      </c>
      <c r="B173" s="2">
        <v>4</v>
      </c>
      <c r="C173" s="2">
        <v>7</v>
      </c>
      <c r="D173" s="8">
        <v>44403.451388888891</v>
      </c>
      <c r="E173" s="8">
        <v>44404.590277777781</v>
      </c>
      <c r="F173" s="1">
        <v>0.4513888888888889</v>
      </c>
      <c r="G173" s="1">
        <v>0.59027777777777779</v>
      </c>
      <c r="H173" t="s">
        <v>11</v>
      </c>
      <c r="I173">
        <v>54.033771000000002</v>
      </c>
      <c r="J173">
        <v>-124.525471</v>
      </c>
      <c r="K173" t="s">
        <v>12</v>
      </c>
      <c r="L173" t="s">
        <v>33</v>
      </c>
      <c r="M173" t="s">
        <v>13</v>
      </c>
      <c r="N173">
        <v>0</v>
      </c>
      <c r="O173">
        <v>0</v>
      </c>
      <c r="P173" t="s">
        <v>92</v>
      </c>
      <c r="Q173" t="s">
        <v>13</v>
      </c>
      <c r="R173">
        <v>10.199999999999999</v>
      </c>
      <c r="S173" t="s">
        <v>13</v>
      </c>
      <c r="T173" t="s">
        <v>145</v>
      </c>
      <c r="U173" s="1">
        <f>Table1[[#This Row],[End Datetime]]-Table1[[#This Row],[Start Datetime]]</f>
        <v>1.1388888888905058</v>
      </c>
    </row>
    <row r="174" spans="1:21" x14ac:dyDescent="0.2">
      <c r="A174" t="s">
        <v>135</v>
      </c>
      <c r="B174" s="3">
        <v>4</v>
      </c>
      <c r="C174" s="3">
        <v>7</v>
      </c>
      <c r="D174" s="11">
        <v>44402.759722222225</v>
      </c>
      <c r="E174" s="11">
        <v>44403.432638888888</v>
      </c>
      <c r="F174" s="1">
        <v>0.7597222222222223</v>
      </c>
      <c r="G174" s="1">
        <v>0.43263888888888885</v>
      </c>
      <c r="H174" t="s">
        <v>11</v>
      </c>
      <c r="I174">
        <v>54.035741999999999</v>
      </c>
      <c r="J174">
        <v>-124.524874</v>
      </c>
      <c r="K174" t="s">
        <v>12</v>
      </c>
      <c r="L174" t="s">
        <v>33</v>
      </c>
      <c r="M174" t="s">
        <v>13</v>
      </c>
      <c r="N174" t="s">
        <v>13</v>
      </c>
      <c r="O174">
        <v>0</v>
      </c>
      <c r="P174" t="s">
        <v>92</v>
      </c>
      <c r="Q174" t="s">
        <v>13</v>
      </c>
      <c r="R174">
        <v>19.100000000000001</v>
      </c>
      <c r="S174">
        <v>9.6</v>
      </c>
      <c r="T174" t="s">
        <v>151</v>
      </c>
      <c r="U174" s="1">
        <f>Table1[[#This Row],[End Datetime]]-Table1[[#This Row],[Start Datetime]]</f>
        <v>0.67291666666278616</v>
      </c>
    </row>
    <row r="175" spans="1:21" x14ac:dyDescent="0.2">
      <c r="A175" t="s">
        <v>176</v>
      </c>
      <c r="B175" s="3">
        <v>4</v>
      </c>
      <c r="C175" s="3">
        <v>6</v>
      </c>
      <c r="D175" s="11">
        <v>44363.572916666664</v>
      </c>
      <c r="E175" s="11">
        <v>44364.642361111109</v>
      </c>
      <c r="F175" s="1">
        <v>0.57291666666666663</v>
      </c>
      <c r="G175" s="1">
        <v>0.64236111111111105</v>
      </c>
      <c r="H175" t="s">
        <v>11</v>
      </c>
      <c r="I175">
        <v>54.067689999999999</v>
      </c>
      <c r="J175">
        <v>-124.88221</v>
      </c>
      <c r="K175" t="s">
        <v>12</v>
      </c>
      <c r="L175" t="s">
        <v>33</v>
      </c>
      <c r="M175" t="s">
        <v>20</v>
      </c>
      <c r="N175">
        <v>1</v>
      </c>
      <c r="O175">
        <v>1</v>
      </c>
      <c r="P175" t="s">
        <v>64</v>
      </c>
      <c r="Q175">
        <v>550</v>
      </c>
      <c r="R175">
        <v>8.5</v>
      </c>
      <c r="S175" t="s">
        <v>13</v>
      </c>
      <c r="T175" t="s">
        <v>13</v>
      </c>
      <c r="U175" s="1">
        <f>Table1[[#This Row],[End Datetime]]-Table1[[#This Row],[Start Datetime]]</f>
        <v>1.0694444444452529</v>
      </c>
    </row>
    <row r="176" spans="1:21" x14ac:dyDescent="0.2">
      <c r="A176" t="s">
        <v>142</v>
      </c>
      <c r="B176" s="3">
        <v>4</v>
      </c>
      <c r="C176" s="3">
        <v>7</v>
      </c>
      <c r="D176" s="11">
        <v>44403.440972222219</v>
      </c>
      <c r="E176" s="11">
        <v>44404.568055555559</v>
      </c>
      <c r="F176" s="1">
        <v>0.44097222222222227</v>
      </c>
      <c r="G176" s="1">
        <v>0.56805555555555554</v>
      </c>
      <c r="H176" t="s">
        <v>11</v>
      </c>
      <c r="I176">
        <v>54.035620000000002</v>
      </c>
      <c r="J176">
        <v>-124.525532</v>
      </c>
      <c r="K176" t="s">
        <v>12</v>
      </c>
      <c r="L176" t="s">
        <v>33</v>
      </c>
      <c r="M176" t="s">
        <v>13</v>
      </c>
      <c r="N176">
        <v>0</v>
      </c>
      <c r="O176">
        <v>0</v>
      </c>
      <c r="P176" t="s">
        <v>92</v>
      </c>
      <c r="Q176" t="s">
        <v>13</v>
      </c>
      <c r="R176">
        <v>8</v>
      </c>
      <c r="S176" t="s">
        <v>13</v>
      </c>
      <c r="T176" t="s">
        <v>143</v>
      </c>
      <c r="U176" s="1">
        <f>Table1[[#This Row],[End Datetime]]-Table1[[#This Row],[Start Datetime]]</f>
        <v>1.1270833333401242</v>
      </c>
    </row>
    <row r="177" spans="1:21" x14ac:dyDescent="0.2">
      <c r="A177" t="s">
        <v>182</v>
      </c>
      <c r="B177" s="3">
        <v>4</v>
      </c>
      <c r="C177" s="13">
        <v>6</v>
      </c>
      <c r="D177" s="14">
        <v>44363.640277777777</v>
      </c>
      <c r="E177" s="14">
        <v>44364.659722222219</v>
      </c>
      <c r="F177" s="1">
        <v>0.64027777777777783</v>
      </c>
      <c r="G177" s="1">
        <v>0.65972222222222221</v>
      </c>
      <c r="H177" t="s">
        <v>11</v>
      </c>
      <c r="I177">
        <v>54.074249999999999</v>
      </c>
      <c r="J177">
        <v>-124.80515</v>
      </c>
      <c r="K177" t="s">
        <v>12</v>
      </c>
      <c r="L177" t="s">
        <v>33</v>
      </c>
      <c r="M177" t="s">
        <v>20</v>
      </c>
      <c r="N177">
        <v>1</v>
      </c>
      <c r="O177">
        <v>1</v>
      </c>
      <c r="P177" t="s">
        <v>64</v>
      </c>
      <c r="Q177">
        <v>350</v>
      </c>
      <c r="R177">
        <v>3.5</v>
      </c>
      <c r="S177" t="s">
        <v>13</v>
      </c>
      <c r="T177" t="s">
        <v>13</v>
      </c>
      <c r="U177" s="1">
        <f>Table1[[#This Row],[End Datetime]]-Table1[[#This Row],[Start Datetime]]</f>
        <v>1.0194444444423425</v>
      </c>
    </row>
    <row r="178" spans="1:21" x14ac:dyDescent="0.2">
      <c r="A178" t="s">
        <v>132</v>
      </c>
      <c r="B178" s="3">
        <v>4</v>
      </c>
      <c r="C178" s="3">
        <v>7</v>
      </c>
      <c r="D178" s="11">
        <v>44402.713888888888</v>
      </c>
      <c r="E178" s="11">
        <v>44403.394444444442</v>
      </c>
      <c r="F178" s="1">
        <v>0.71388888888888891</v>
      </c>
      <c r="G178" s="1">
        <v>0.39444444444444443</v>
      </c>
      <c r="H178" t="s">
        <v>11</v>
      </c>
      <c r="I178">
        <v>54.034553000000002</v>
      </c>
      <c r="J178">
        <v>-124.492209</v>
      </c>
      <c r="K178" t="s">
        <v>12</v>
      </c>
      <c r="L178" t="s">
        <v>33</v>
      </c>
      <c r="M178" t="s">
        <v>223</v>
      </c>
      <c r="N178">
        <v>1</v>
      </c>
      <c r="O178">
        <v>0</v>
      </c>
      <c r="P178" t="s">
        <v>92</v>
      </c>
      <c r="Q178" t="s">
        <v>13</v>
      </c>
      <c r="R178">
        <v>9.8000000000000007</v>
      </c>
      <c r="S178" t="s">
        <v>13</v>
      </c>
      <c r="T178" t="s">
        <v>13</v>
      </c>
      <c r="U178" s="1">
        <f>Table1[[#This Row],[End Datetime]]-Table1[[#This Row],[Start Datetime]]</f>
        <v>0.68055555555474712</v>
      </c>
    </row>
    <row r="179" spans="1:21" x14ac:dyDescent="0.2">
      <c r="A179" t="s">
        <v>134</v>
      </c>
      <c r="B179" s="3">
        <v>4</v>
      </c>
      <c r="C179" s="3">
        <v>7</v>
      </c>
      <c r="D179" s="11">
        <v>44402.75</v>
      </c>
      <c r="E179" s="11">
        <v>44403.422222222223</v>
      </c>
      <c r="F179" s="1">
        <v>0.75</v>
      </c>
      <c r="G179" s="1">
        <v>0.42222222222222222</v>
      </c>
      <c r="H179" t="s">
        <v>11</v>
      </c>
      <c r="I179">
        <v>54.040920999999997</v>
      </c>
      <c r="J179">
        <v>-124.522825</v>
      </c>
      <c r="K179" t="s">
        <v>12</v>
      </c>
      <c r="L179" t="s">
        <v>33</v>
      </c>
      <c r="M179" t="s">
        <v>13</v>
      </c>
      <c r="N179" t="s">
        <v>13</v>
      </c>
      <c r="O179">
        <v>0</v>
      </c>
      <c r="P179" t="s">
        <v>92</v>
      </c>
      <c r="Q179" t="s">
        <v>13</v>
      </c>
      <c r="R179">
        <v>14.6</v>
      </c>
      <c r="S179">
        <v>13.7</v>
      </c>
      <c r="T179" t="s">
        <v>151</v>
      </c>
      <c r="U179" s="1">
        <f>Table1[[#This Row],[End Datetime]]-Table1[[#This Row],[Start Datetime]]</f>
        <v>0.67222222222335404</v>
      </c>
    </row>
    <row r="180" spans="1:21" x14ac:dyDescent="0.2">
      <c r="A180" t="s">
        <v>177</v>
      </c>
      <c r="B180" s="3">
        <v>4</v>
      </c>
      <c r="C180" s="3">
        <v>6</v>
      </c>
      <c r="D180" s="11">
        <v>44363.57916666667</v>
      </c>
      <c r="E180" s="11">
        <v>44364.645833333336</v>
      </c>
      <c r="F180" s="1">
        <v>0.57916666666666672</v>
      </c>
      <c r="G180" s="1">
        <v>0.64583333333333337</v>
      </c>
      <c r="H180" t="s">
        <v>11</v>
      </c>
      <c r="I180">
        <v>54.072279999999999</v>
      </c>
      <c r="J180">
        <v>-124.88112</v>
      </c>
      <c r="K180" t="s">
        <v>12</v>
      </c>
      <c r="L180" t="s">
        <v>33</v>
      </c>
      <c r="M180" t="s">
        <v>13</v>
      </c>
      <c r="N180">
        <v>0</v>
      </c>
      <c r="O180">
        <v>0</v>
      </c>
      <c r="P180" t="s">
        <v>64</v>
      </c>
      <c r="Q180">
        <v>350</v>
      </c>
      <c r="R180">
        <v>4.4000000000000004</v>
      </c>
      <c r="S180" t="s">
        <v>13</v>
      </c>
      <c r="T180" t="s">
        <v>13</v>
      </c>
      <c r="U180" s="1">
        <f>Table1[[#This Row],[End Datetime]]-Table1[[#This Row],[Start Datetime]]</f>
        <v>1.0666666666656965</v>
      </c>
    </row>
    <row r="181" spans="1:21" x14ac:dyDescent="0.2">
      <c r="A181" t="s">
        <v>140</v>
      </c>
      <c r="B181" s="3">
        <v>4</v>
      </c>
      <c r="C181" s="3">
        <v>7</v>
      </c>
      <c r="D181" s="11">
        <v>44403.429166666669</v>
      </c>
      <c r="E181" s="11">
        <v>44404.563194444447</v>
      </c>
      <c r="F181" s="1">
        <v>0.4291666666666667</v>
      </c>
      <c r="G181" s="1">
        <v>0.56319444444444444</v>
      </c>
      <c r="H181" t="s">
        <v>11</v>
      </c>
      <c r="I181">
        <v>54.040115</v>
      </c>
      <c r="J181">
        <v>-124.525293</v>
      </c>
      <c r="K181" t="s">
        <v>12</v>
      </c>
      <c r="L181" t="s">
        <v>33</v>
      </c>
      <c r="M181" t="s">
        <v>13</v>
      </c>
      <c r="N181">
        <v>0</v>
      </c>
      <c r="O181">
        <v>0</v>
      </c>
      <c r="P181" t="s">
        <v>92</v>
      </c>
      <c r="Q181" t="s">
        <v>13</v>
      </c>
      <c r="R181">
        <v>10.1</v>
      </c>
      <c r="S181" t="s">
        <v>13</v>
      </c>
      <c r="T181" t="s">
        <v>141</v>
      </c>
      <c r="U181" s="1">
        <f>Table1[[#This Row],[End Datetime]]-Table1[[#This Row],[Start Datetime]]</f>
        <v>1.1340277777781012</v>
      </c>
    </row>
    <row r="182" spans="1:21" x14ac:dyDescent="0.2">
      <c r="A182" t="s">
        <v>129</v>
      </c>
      <c r="B182" s="3">
        <v>4</v>
      </c>
      <c r="C182" s="3">
        <v>7</v>
      </c>
      <c r="D182" s="11">
        <v>44402.705555555556</v>
      </c>
      <c r="E182" s="11">
        <v>44403.370833333334</v>
      </c>
      <c r="F182" s="1">
        <v>0.7055555555555556</v>
      </c>
      <c r="G182" s="1">
        <v>0.37083333333333335</v>
      </c>
      <c r="H182" t="s">
        <v>11</v>
      </c>
      <c r="I182">
        <v>54.041786000000002</v>
      </c>
      <c r="J182">
        <v>-124.490427</v>
      </c>
      <c r="K182" t="s">
        <v>12</v>
      </c>
      <c r="L182" t="s">
        <v>33</v>
      </c>
      <c r="M182" t="s">
        <v>13</v>
      </c>
      <c r="N182">
        <v>0</v>
      </c>
      <c r="O182">
        <v>0</v>
      </c>
      <c r="P182" t="s">
        <v>92</v>
      </c>
      <c r="Q182" t="s">
        <v>13</v>
      </c>
      <c r="R182">
        <v>8.3000000000000007</v>
      </c>
      <c r="S182" t="s">
        <v>13</v>
      </c>
      <c r="T182" t="s">
        <v>13</v>
      </c>
      <c r="U182" s="1">
        <f>Table1[[#This Row],[End Datetime]]-Table1[[#This Row],[Start Datetime]]</f>
        <v>0.66527777777810115</v>
      </c>
    </row>
    <row r="183" spans="1:21" x14ac:dyDescent="0.2">
      <c r="A183" t="s">
        <v>131</v>
      </c>
      <c r="B183" s="3">
        <v>4</v>
      </c>
      <c r="C183" s="3">
        <v>7</v>
      </c>
      <c r="D183" s="11">
        <v>44402.726388888892</v>
      </c>
      <c r="E183" s="11">
        <v>44403.384722222225</v>
      </c>
      <c r="F183" s="1">
        <v>0.72638888888888886</v>
      </c>
      <c r="G183" s="1">
        <v>0.38472222222222219</v>
      </c>
      <c r="H183" t="s">
        <v>11</v>
      </c>
      <c r="I183">
        <v>54.042895000000001</v>
      </c>
      <c r="J183">
        <v>-124.503702</v>
      </c>
      <c r="K183" t="s">
        <v>12</v>
      </c>
      <c r="L183" t="s">
        <v>33</v>
      </c>
      <c r="M183" t="s">
        <v>223</v>
      </c>
      <c r="N183">
        <v>1</v>
      </c>
      <c r="O183">
        <v>0</v>
      </c>
      <c r="P183" t="s">
        <v>92</v>
      </c>
      <c r="Q183" t="s">
        <v>13</v>
      </c>
      <c r="R183">
        <v>9.6</v>
      </c>
      <c r="S183" t="s">
        <v>13</v>
      </c>
      <c r="T183" t="s">
        <v>13</v>
      </c>
      <c r="U183" s="1">
        <f>Table1[[#This Row],[End Datetime]]-Table1[[#This Row],[Start Datetime]]</f>
        <v>0.65833333333284827</v>
      </c>
    </row>
    <row r="184" spans="1:21" x14ac:dyDescent="0.2">
      <c r="A184" t="s">
        <v>130</v>
      </c>
      <c r="B184" s="3">
        <v>4</v>
      </c>
      <c r="C184" s="3">
        <v>6</v>
      </c>
      <c r="D184" s="14">
        <v>44363.59375</v>
      </c>
      <c r="E184" s="14">
        <v>44364.668749999997</v>
      </c>
      <c r="F184" s="1">
        <v>0.59375</v>
      </c>
      <c r="G184" s="1">
        <v>0.66875000000000007</v>
      </c>
      <c r="H184" t="s">
        <v>11</v>
      </c>
      <c r="I184">
        <v>54.069180000000003</v>
      </c>
      <c r="J184">
        <v>-124.82293</v>
      </c>
      <c r="K184" t="s">
        <v>12</v>
      </c>
      <c r="L184" t="s">
        <v>33</v>
      </c>
      <c r="M184" t="s">
        <v>20</v>
      </c>
      <c r="N184">
        <v>1</v>
      </c>
      <c r="O184">
        <v>1</v>
      </c>
      <c r="P184" t="s">
        <v>64</v>
      </c>
      <c r="Q184">
        <v>200</v>
      </c>
      <c r="R184">
        <v>6.5</v>
      </c>
      <c r="S184" t="s">
        <v>13</v>
      </c>
      <c r="T184" t="s">
        <v>13</v>
      </c>
      <c r="U184" s="1">
        <f>Table1[[#This Row],[End Datetime]]-Table1[[#This Row],[Start Datetime]]</f>
        <v>1.0749999999970896</v>
      </c>
    </row>
    <row r="185" spans="1:21" x14ac:dyDescent="0.2">
      <c r="A185" t="s">
        <v>130</v>
      </c>
      <c r="B185" s="3">
        <v>4</v>
      </c>
      <c r="C185" s="3">
        <v>7</v>
      </c>
      <c r="D185" s="11">
        <v>44402.709027777775</v>
      </c>
      <c r="E185" s="11">
        <v>44403.378472222219</v>
      </c>
      <c r="F185" s="1">
        <v>0.7090277777777777</v>
      </c>
      <c r="G185" s="1">
        <v>0.37847222222222227</v>
      </c>
      <c r="H185" t="s">
        <v>11</v>
      </c>
      <c r="I185">
        <v>54.040540999999997</v>
      </c>
      <c r="J185">
        <v>-124.49275900000001</v>
      </c>
      <c r="K185" t="s">
        <v>12</v>
      </c>
      <c r="L185" t="s">
        <v>33</v>
      </c>
      <c r="M185" t="s">
        <v>13</v>
      </c>
      <c r="N185">
        <v>0</v>
      </c>
      <c r="O185">
        <v>0</v>
      </c>
      <c r="P185" t="s">
        <v>92</v>
      </c>
      <c r="Q185" t="s">
        <v>13</v>
      </c>
      <c r="R185">
        <v>8.1999999999999993</v>
      </c>
      <c r="S185">
        <v>17.8</v>
      </c>
      <c r="T185" t="s">
        <v>13</v>
      </c>
      <c r="U185" s="1">
        <f>Table1[[#This Row],[End Datetime]]-Table1[[#This Row],[Start Datetime]]</f>
        <v>0.66944444444379769</v>
      </c>
    </row>
    <row r="186" spans="1:21" x14ac:dyDescent="0.2">
      <c r="A186" t="s">
        <v>90</v>
      </c>
      <c r="B186" s="3">
        <v>4</v>
      </c>
      <c r="C186" s="3">
        <v>7</v>
      </c>
      <c r="D186" s="11">
        <v>44404.604861111111</v>
      </c>
      <c r="E186" s="11">
        <v>44405.321527777778</v>
      </c>
      <c r="F186" s="1">
        <v>0.60486111111111118</v>
      </c>
      <c r="G186" s="1">
        <v>0.3215277777777778</v>
      </c>
      <c r="H186" t="s">
        <v>11</v>
      </c>
      <c r="I186">
        <v>54.035642000000003</v>
      </c>
      <c r="J186">
        <v>-124.51000500000001</v>
      </c>
      <c r="K186" t="s">
        <v>12</v>
      </c>
      <c r="L186" t="s">
        <v>33</v>
      </c>
      <c r="M186" t="s">
        <v>13</v>
      </c>
      <c r="N186">
        <v>0</v>
      </c>
      <c r="O186">
        <v>0</v>
      </c>
      <c r="P186" t="s">
        <v>92</v>
      </c>
      <c r="Q186" t="s">
        <v>13</v>
      </c>
      <c r="R186">
        <v>19.3</v>
      </c>
      <c r="S186">
        <v>9.6</v>
      </c>
      <c r="T186" t="s">
        <v>91</v>
      </c>
      <c r="U186" s="1">
        <f>Table1[[#This Row],[End Datetime]]-Table1[[#This Row],[Start Datetime]]</f>
        <v>0.71666666666715173</v>
      </c>
    </row>
    <row r="187" spans="1:21" x14ac:dyDescent="0.2">
      <c r="A187" t="s">
        <v>95</v>
      </c>
      <c r="B187" s="3">
        <v>4</v>
      </c>
      <c r="C187" s="3">
        <v>7</v>
      </c>
      <c r="D187" s="11">
        <v>44405.321527777778</v>
      </c>
      <c r="E187" s="11">
        <v>44406.536805555559</v>
      </c>
      <c r="F187" s="1">
        <v>0.3215277777777778</v>
      </c>
      <c r="G187" s="1">
        <v>0.53680555555555554</v>
      </c>
      <c r="H187" t="s">
        <v>11</v>
      </c>
      <c r="I187">
        <v>54.034970000000001</v>
      </c>
      <c r="J187">
        <v>-124.504875</v>
      </c>
      <c r="K187" t="s">
        <v>12</v>
      </c>
      <c r="L187" t="s">
        <v>33</v>
      </c>
      <c r="M187" t="s">
        <v>303</v>
      </c>
      <c r="N187">
        <v>1</v>
      </c>
      <c r="O187">
        <v>0</v>
      </c>
      <c r="P187" t="s">
        <v>92</v>
      </c>
      <c r="Q187" t="s">
        <v>13</v>
      </c>
      <c r="R187">
        <v>10.199999999999999</v>
      </c>
      <c r="S187" t="s">
        <v>13</v>
      </c>
      <c r="T187" t="s">
        <v>13</v>
      </c>
      <c r="U187" s="1">
        <f>Table1[[#This Row],[End Datetime]]-Table1[[#This Row],[Start Datetime]]</f>
        <v>1.2152777777810115</v>
      </c>
    </row>
    <row r="188" spans="1:21" x14ac:dyDescent="0.2">
      <c r="A188" t="s">
        <v>153</v>
      </c>
      <c r="B188" s="2">
        <v>4</v>
      </c>
      <c r="C188" s="2">
        <v>7</v>
      </c>
      <c r="D188" s="8">
        <v>44403.498611111114</v>
      </c>
      <c r="E188" s="8">
        <v>44404.534722222219</v>
      </c>
      <c r="F188" s="1">
        <v>0.49861111111111112</v>
      </c>
      <c r="G188" s="1">
        <v>0.53472222222222221</v>
      </c>
      <c r="H188" t="s">
        <v>11</v>
      </c>
      <c r="I188">
        <v>54.035421999999997</v>
      </c>
      <c r="J188">
        <v>-124.52432</v>
      </c>
      <c r="K188" t="s">
        <v>12</v>
      </c>
      <c r="L188" t="s">
        <v>33</v>
      </c>
      <c r="M188" t="s">
        <v>13</v>
      </c>
      <c r="N188" t="s">
        <v>13</v>
      </c>
      <c r="O188">
        <v>0</v>
      </c>
      <c r="P188" t="s">
        <v>150</v>
      </c>
      <c r="Q188" t="s">
        <v>13</v>
      </c>
      <c r="R188">
        <v>15.3</v>
      </c>
      <c r="S188">
        <v>10.7</v>
      </c>
      <c r="T188" t="s">
        <v>151</v>
      </c>
      <c r="U188" s="1">
        <f>Table1[[#This Row],[End Datetime]]-Table1[[#This Row],[Start Datetime]]</f>
        <v>1.0361111111051287</v>
      </c>
    </row>
    <row r="189" spans="1:21" x14ac:dyDescent="0.2">
      <c r="A189" t="s">
        <v>160</v>
      </c>
      <c r="B189" s="2">
        <v>4</v>
      </c>
      <c r="C189" s="2">
        <v>7</v>
      </c>
      <c r="D189" s="8">
        <v>44404.534722222219</v>
      </c>
      <c r="E189" s="8">
        <v>44405.431250000001</v>
      </c>
      <c r="F189" s="1">
        <v>0.53472222222222221</v>
      </c>
      <c r="G189" s="1">
        <v>0.43124999999999997</v>
      </c>
      <c r="H189" t="s">
        <v>11</v>
      </c>
      <c r="I189">
        <v>54.035398999999998</v>
      </c>
      <c r="J189">
        <v>-124.524947</v>
      </c>
      <c r="K189" t="s">
        <v>12</v>
      </c>
      <c r="L189" t="s">
        <v>33</v>
      </c>
      <c r="M189" t="s">
        <v>20</v>
      </c>
      <c r="N189">
        <v>1</v>
      </c>
      <c r="O189">
        <v>1</v>
      </c>
      <c r="P189" t="s">
        <v>150</v>
      </c>
      <c r="Q189" t="s">
        <v>13</v>
      </c>
      <c r="R189">
        <v>9.9</v>
      </c>
      <c r="S189">
        <v>16.899999999999999</v>
      </c>
      <c r="T189" t="s">
        <v>161</v>
      </c>
      <c r="U189" s="1">
        <f>Table1[[#This Row],[End Datetime]]-Table1[[#This Row],[Start Datetime]]</f>
        <v>0.89652777778246673</v>
      </c>
    </row>
    <row r="190" spans="1:21" x14ac:dyDescent="0.2">
      <c r="A190" t="s">
        <v>94</v>
      </c>
      <c r="B190" s="2">
        <v>4</v>
      </c>
      <c r="C190" s="2">
        <v>7</v>
      </c>
      <c r="D190" s="8">
        <v>44404.636805555558</v>
      </c>
      <c r="E190" s="8">
        <v>44405.395833333336</v>
      </c>
      <c r="F190" s="1">
        <v>0.63680555555555551</v>
      </c>
      <c r="G190" s="1">
        <v>0.39583333333333331</v>
      </c>
      <c r="H190" t="s">
        <v>11</v>
      </c>
      <c r="I190">
        <v>54.040413000000001</v>
      </c>
      <c r="J190">
        <v>-124.47493299999999</v>
      </c>
      <c r="K190" t="s">
        <v>12</v>
      </c>
      <c r="L190" t="s">
        <v>33</v>
      </c>
      <c r="M190" t="s">
        <v>13</v>
      </c>
      <c r="N190">
        <v>0</v>
      </c>
      <c r="O190">
        <v>0</v>
      </c>
      <c r="P190" t="s">
        <v>92</v>
      </c>
      <c r="Q190" t="s">
        <v>13</v>
      </c>
      <c r="R190">
        <v>17.7</v>
      </c>
      <c r="S190">
        <v>10.5</v>
      </c>
      <c r="T190" t="s">
        <v>91</v>
      </c>
      <c r="U190" s="1">
        <f>Table1[[#This Row],[End Datetime]]-Table1[[#This Row],[Start Datetime]]</f>
        <v>0.75902777777810115</v>
      </c>
    </row>
    <row r="191" spans="1:21" x14ac:dyDescent="0.2">
      <c r="A191" t="s">
        <v>98</v>
      </c>
      <c r="B191" s="2">
        <v>4</v>
      </c>
      <c r="C191" s="15">
        <v>7</v>
      </c>
      <c r="D191" s="18">
        <v>44405.395833333336</v>
      </c>
      <c r="E191" s="18">
        <v>44406.526388888888</v>
      </c>
      <c r="F191" s="1">
        <v>0.39583333333333331</v>
      </c>
      <c r="G191" s="1">
        <v>0.52638888888888891</v>
      </c>
      <c r="H191" t="s">
        <v>11</v>
      </c>
      <c r="I191">
        <v>54.041896000000001</v>
      </c>
      <c r="J191">
        <v>-124.48117499999999</v>
      </c>
      <c r="K191" t="s">
        <v>12</v>
      </c>
      <c r="L191" t="s">
        <v>33</v>
      </c>
      <c r="M191" t="s">
        <v>13</v>
      </c>
      <c r="N191">
        <v>0</v>
      </c>
      <c r="O191">
        <v>0</v>
      </c>
      <c r="P191" t="s">
        <v>92</v>
      </c>
      <c r="Q191" t="s">
        <v>13</v>
      </c>
      <c r="R191">
        <v>9.9</v>
      </c>
      <c r="S191" t="s">
        <v>13</v>
      </c>
      <c r="T191" t="s">
        <v>13</v>
      </c>
      <c r="U191" s="1">
        <f>Table1[[#This Row],[End Datetime]]-Table1[[#This Row],[Start Datetime]]</f>
        <v>1.1305555555518367</v>
      </c>
    </row>
    <row r="192" spans="1:21" x14ac:dyDescent="0.2">
      <c r="A192" t="s">
        <v>149</v>
      </c>
      <c r="B192" s="2">
        <v>4</v>
      </c>
      <c r="C192" s="2">
        <v>7</v>
      </c>
      <c r="D192" s="8">
        <v>44403.479166666664</v>
      </c>
      <c r="E192" s="8">
        <v>44404.517361111109</v>
      </c>
      <c r="F192" s="1">
        <v>0.47916666666666669</v>
      </c>
      <c r="G192" s="1">
        <v>0.51736111111111105</v>
      </c>
      <c r="H192" t="s">
        <v>11</v>
      </c>
      <c r="I192">
        <v>54.033538</v>
      </c>
      <c r="J192">
        <v>-124.522121</v>
      </c>
      <c r="K192" t="s">
        <v>12</v>
      </c>
      <c r="L192" t="s">
        <v>33</v>
      </c>
      <c r="M192" t="s">
        <v>13</v>
      </c>
      <c r="N192" t="s">
        <v>13</v>
      </c>
      <c r="O192">
        <v>0</v>
      </c>
      <c r="P192" t="s">
        <v>150</v>
      </c>
      <c r="Q192" t="s">
        <v>13</v>
      </c>
      <c r="R192">
        <v>12.3</v>
      </c>
      <c r="S192">
        <v>13.8</v>
      </c>
      <c r="T192" t="s">
        <v>151</v>
      </c>
      <c r="U192" s="1">
        <f>Table1[[#This Row],[End Datetime]]-Table1[[#This Row],[Start Datetime]]</f>
        <v>1.0381944444452529</v>
      </c>
    </row>
    <row r="193" spans="1:21" x14ac:dyDescent="0.2">
      <c r="A193" t="s">
        <v>156</v>
      </c>
      <c r="B193" s="2">
        <v>4</v>
      </c>
      <c r="C193" s="2">
        <v>7</v>
      </c>
      <c r="D193" s="8">
        <v>44404.517361111109</v>
      </c>
      <c r="E193" s="8">
        <v>44405.440972222219</v>
      </c>
      <c r="F193" s="1">
        <v>0.51736111111111105</v>
      </c>
      <c r="G193" s="1">
        <v>0.44097222222222227</v>
      </c>
      <c r="H193" t="s">
        <v>11</v>
      </c>
      <c r="I193">
        <v>54.033109000000003</v>
      </c>
      <c r="J193">
        <v>-124.521731</v>
      </c>
      <c r="K193" t="s">
        <v>12</v>
      </c>
      <c r="L193" t="s">
        <v>33</v>
      </c>
      <c r="M193" t="s">
        <v>13</v>
      </c>
      <c r="N193">
        <v>0</v>
      </c>
      <c r="O193">
        <v>0</v>
      </c>
      <c r="P193" t="s">
        <v>150</v>
      </c>
      <c r="Q193" t="s">
        <v>13</v>
      </c>
      <c r="R193">
        <v>10</v>
      </c>
      <c r="S193" t="s">
        <v>13</v>
      </c>
      <c r="T193" t="s">
        <v>159</v>
      </c>
      <c r="U193" s="1">
        <f>Table1[[#This Row],[End Datetime]]-Table1[[#This Row],[Start Datetime]]</f>
        <v>0.92361111110949423</v>
      </c>
    </row>
    <row r="194" spans="1:21" x14ac:dyDescent="0.2">
      <c r="A194" t="s">
        <v>155</v>
      </c>
      <c r="B194" s="2">
        <v>4</v>
      </c>
      <c r="C194" s="2">
        <v>7</v>
      </c>
      <c r="D194" s="8">
        <v>44403.51666666667</v>
      </c>
      <c r="E194" s="8">
        <v>44404.54583333333</v>
      </c>
      <c r="F194" s="1">
        <v>0.51666666666666672</v>
      </c>
      <c r="G194" s="1">
        <v>0.54583333333333328</v>
      </c>
      <c r="H194" t="s">
        <v>11</v>
      </c>
      <c r="I194">
        <v>54.041643000000001</v>
      </c>
      <c r="J194">
        <v>-124.521311</v>
      </c>
      <c r="K194" t="s">
        <v>12</v>
      </c>
      <c r="L194" t="s">
        <v>33</v>
      </c>
      <c r="M194" t="s">
        <v>13</v>
      </c>
      <c r="N194" t="s">
        <v>13</v>
      </c>
      <c r="O194">
        <v>0</v>
      </c>
      <c r="P194" t="s">
        <v>150</v>
      </c>
      <c r="Q194" t="s">
        <v>13</v>
      </c>
      <c r="R194">
        <v>14.4</v>
      </c>
      <c r="S194">
        <v>13.4</v>
      </c>
      <c r="T194" t="s">
        <v>151</v>
      </c>
      <c r="U194" s="1">
        <f>Table1[[#This Row],[End Datetime]]-Table1[[#This Row],[Start Datetime]]</f>
        <v>1.0291666666598758</v>
      </c>
    </row>
    <row r="195" spans="1:21" x14ac:dyDescent="0.2">
      <c r="A195" t="s">
        <v>162</v>
      </c>
      <c r="B195" s="2">
        <v>4</v>
      </c>
      <c r="C195" s="2">
        <v>7</v>
      </c>
      <c r="D195" s="8">
        <v>44404.54583333333</v>
      </c>
      <c r="E195" s="8">
        <v>44405.427777777775</v>
      </c>
      <c r="F195" s="1">
        <v>0.54583333333333328</v>
      </c>
      <c r="G195" s="1">
        <v>0.42777777777777781</v>
      </c>
      <c r="H195" t="s">
        <v>11</v>
      </c>
      <c r="I195">
        <v>54.041961999999998</v>
      </c>
      <c r="J195">
        <v>-124.52116599999999</v>
      </c>
      <c r="K195" t="s">
        <v>12</v>
      </c>
      <c r="L195" t="s">
        <v>33</v>
      </c>
      <c r="M195" t="s">
        <v>13</v>
      </c>
      <c r="N195">
        <v>0</v>
      </c>
      <c r="O195">
        <v>0</v>
      </c>
      <c r="P195" t="s">
        <v>150</v>
      </c>
      <c r="Q195" t="s">
        <v>13</v>
      </c>
      <c r="R195">
        <v>9.5</v>
      </c>
      <c r="S195" t="s">
        <v>13</v>
      </c>
      <c r="T195" t="s">
        <v>163</v>
      </c>
      <c r="U195" s="1">
        <f>Table1[[#This Row],[End Datetime]]-Table1[[#This Row],[Start Datetime]]</f>
        <v>0.88194444444525288</v>
      </c>
    </row>
    <row r="196" spans="1:21" x14ac:dyDescent="0.2">
      <c r="A196" t="s">
        <v>168</v>
      </c>
      <c r="B196" s="2">
        <v>4</v>
      </c>
      <c r="C196" s="2">
        <v>7</v>
      </c>
      <c r="D196" s="8">
        <v>44404.617361111108</v>
      </c>
      <c r="E196" s="8">
        <v>44405.352083333331</v>
      </c>
      <c r="F196" s="1">
        <v>0.61736111111111114</v>
      </c>
      <c r="G196" s="1">
        <v>0.3520833333333333</v>
      </c>
      <c r="H196" t="s">
        <v>11</v>
      </c>
      <c r="I196">
        <v>54.03557</v>
      </c>
      <c r="J196">
        <v>-124.490407</v>
      </c>
      <c r="K196" t="s">
        <v>12</v>
      </c>
      <c r="L196" t="s">
        <v>33</v>
      </c>
      <c r="M196" t="s">
        <v>13</v>
      </c>
      <c r="N196">
        <v>0</v>
      </c>
      <c r="O196">
        <v>0</v>
      </c>
      <c r="P196" t="s">
        <v>92</v>
      </c>
      <c r="Q196" t="s">
        <v>13</v>
      </c>
      <c r="R196">
        <v>14.2</v>
      </c>
      <c r="S196">
        <v>17.5</v>
      </c>
      <c r="T196" t="s">
        <v>91</v>
      </c>
      <c r="U196" s="1">
        <f>Table1[[#This Row],[End Datetime]]-Table1[[#This Row],[Start Datetime]]</f>
        <v>0.73472222222335404</v>
      </c>
    </row>
    <row r="197" spans="1:21" x14ac:dyDescent="0.2">
      <c r="A197" t="s">
        <v>96</v>
      </c>
      <c r="B197" s="2">
        <v>4</v>
      </c>
      <c r="C197" s="2">
        <v>7</v>
      </c>
      <c r="D197" s="18">
        <v>44405.352083333331</v>
      </c>
      <c r="E197" s="18">
        <v>44406.51458333333</v>
      </c>
      <c r="F197" s="1">
        <v>0.3520833333333333</v>
      </c>
      <c r="G197" s="1">
        <v>0.51458333333333328</v>
      </c>
      <c r="H197" t="s">
        <v>11</v>
      </c>
      <c r="I197">
        <v>54.033966999999997</v>
      </c>
      <c r="J197">
        <v>-124.491224</v>
      </c>
      <c r="K197" t="s">
        <v>12</v>
      </c>
      <c r="L197" t="s">
        <v>33</v>
      </c>
      <c r="M197" t="s">
        <v>303</v>
      </c>
      <c r="N197">
        <v>4</v>
      </c>
      <c r="O197">
        <v>0</v>
      </c>
      <c r="P197" t="s">
        <v>92</v>
      </c>
      <c r="Q197" t="s">
        <v>13</v>
      </c>
      <c r="R197">
        <v>9.6999999999999993</v>
      </c>
      <c r="S197" t="s">
        <v>13</v>
      </c>
      <c r="T197" t="s">
        <v>13</v>
      </c>
      <c r="U197" s="1">
        <f>Table1[[#This Row],[End Datetime]]-Table1[[#This Row],[Start Datetime]]</f>
        <v>1.1624999999985448</v>
      </c>
    </row>
    <row r="198" spans="1:21" x14ac:dyDescent="0.2">
      <c r="A198" t="s">
        <v>152</v>
      </c>
      <c r="B198" s="2">
        <v>4</v>
      </c>
      <c r="C198" s="2">
        <v>7</v>
      </c>
      <c r="D198" s="8">
        <v>44403.490972222222</v>
      </c>
      <c r="E198" s="8">
        <v>44404.527083333334</v>
      </c>
      <c r="F198" s="1">
        <v>0.4909722222222222</v>
      </c>
      <c r="G198" s="1">
        <v>0.52708333333333335</v>
      </c>
      <c r="H198" t="s">
        <v>11</v>
      </c>
      <c r="I198">
        <v>54.034139000000003</v>
      </c>
      <c r="J198">
        <v>-124.52537100000001</v>
      </c>
      <c r="K198" t="s">
        <v>12</v>
      </c>
      <c r="L198" t="s">
        <v>33</v>
      </c>
      <c r="M198" t="s">
        <v>13</v>
      </c>
      <c r="N198" t="s">
        <v>13</v>
      </c>
      <c r="O198">
        <v>0</v>
      </c>
      <c r="P198" t="s">
        <v>150</v>
      </c>
      <c r="Q198" t="s">
        <v>13</v>
      </c>
      <c r="R198">
        <v>12.2</v>
      </c>
      <c r="S198">
        <v>14.1</v>
      </c>
      <c r="T198" t="s">
        <v>151</v>
      </c>
      <c r="U198" s="1">
        <f>Table1[[#This Row],[End Datetime]]-Table1[[#This Row],[Start Datetime]]</f>
        <v>1.0361111111124046</v>
      </c>
    </row>
    <row r="199" spans="1:21" x14ac:dyDescent="0.2">
      <c r="A199" t="s">
        <v>157</v>
      </c>
      <c r="B199" s="2">
        <v>4</v>
      </c>
      <c r="C199" s="2">
        <v>7</v>
      </c>
      <c r="D199" s="8">
        <v>44404.527083333334</v>
      </c>
      <c r="E199" s="8">
        <v>44405.436111111114</v>
      </c>
      <c r="F199" s="1">
        <v>0.52708333333333335</v>
      </c>
      <c r="G199" s="1">
        <v>0.43611111111111112</v>
      </c>
      <c r="H199" t="s">
        <v>11</v>
      </c>
      <c r="I199">
        <v>54.034410999999999</v>
      </c>
      <c r="J199">
        <v>-124.525732</v>
      </c>
      <c r="K199" t="s">
        <v>12</v>
      </c>
      <c r="L199" t="s">
        <v>33</v>
      </c>
      <c r="M199" t="s">
        <v>13</v>
      </c>
      <c r="N199">
        <v>0</v>
      </c>
      <c r="O199">
        <v>0</v>
      </c>
      <c r="P199" t="s">
        <v>150</v>
      </c>
      <c r="Q199" t="s">
        <v>13</v>
      </c>
      <c r="R199">
        <v>9.9</v>
      </c>
      <c r="S199" t="s">
        <v>13</v>
      </c>
      <c r="T199" t="s">
        <v>158</v>
      </c>
      <c r="U199" s="1">
        <f>Table1[[#This Row],[End Datetime]]-Table1[[#This Row],[Start Datetime]]</f>
        <v>0.90902777777955635</v>
      </c>
    </row>
    <row r="200" spans="1:21" x14ac:dyDescent="0.2">
      <c r="A200" t="s">
        <v>93</v>
      </c>
      <c r="B200" s="2">
        <v>4</v>
      </c>
      <c r="C200" s="2">
        <v>7</v>
      </c>
      <c r="D200" s="8">
        <v>44404.628472222219</v>
      </c>
      <c r="E200" s="8">
        <v>44405.381249999999</v>
      </c>
      <c r="F200" s="1">
        <v>0.62847222222222221</v>
      </c>
      <c r="G200" s="1">
        <v>0.38125000000000003</v>
      </c>
      <c r="H200" t="s">
        <v>11</v>
      </c>
      <c r="I200">
        <v>54.035795999999998</v>
      </c>
      <c r="J200">
        <v>-124.47476399999999</v>
      </c>
      <c r="K200" t="s">
        <v>12</v>
      </c>
      <c r="L200" t="s">
        <v>33</v>
      </c>
      <c r="M200" t="s">
        <v>13</v>
      </c>
      <c r="N200">
        <v>0</v>
      </c>
      <c r="O200">
        <v>0</v>
      </c>
      <c r="P200" t="s">
        <v>92</v>
      </c>
      <c r="Q200" t="s">
        <v>13</v>
      </c>
      <c r="R200">
        <v>17.5</v>
      </c>
      <c r="S200">
        <v>10.1</v>
      </c>
      <c r="T200" t="s">
        <v>91</v>
      </c>
      <c r="U200" s="1">
        <f>Table1[[#This Row],[End Datetime]]-Table1[[#This Row],[Start Datetime]]</f>
        <v>0.75277777777955635</v>
      </c>
    </row>
    <row r="201" spans="1:21" x14ac:dyDescent="0.2">
      <c r="A201" t="s">
        <v>97</v>
      </c>
      <c r="B201" s="2">
        <v>4</v>
      </c>
      <c r="C201" s="2">
        <v>7</v>
      </c>
      <c r="D201" s="18">
        <v>44405.37777777778</v>
      </c>
      <c r="E201" s="18">
        <v>44406.520833333336</v>
      </c>
      <c r="F201" s="1">
        <v>0.37777777777777777</v>
      </c>
      <c r="G201" s="1">
        <v>0.52083333333333337</v>
      </c>
      <c r="H201" t="s">
        <v>11</v>
      </c>
      <c r="I201">
        <v>54.034885000000003</v>
      </c>
      <c r="J201">
        <v>-124.464648</v>
      </c>
      <c r="K201" t="s">
        <v>12</v>
      </c>
      <c r="L201" t="s">
        <v>33</v>
      </c>
      <c r="M201" t="s">
        <v>303</v>
      </c>
      <c r="N201">
        <v>1</v>
      </c>
      <c r="O201">
        <v>0</v>
      </c>
      <c r="P201" t="s">
        <v>92</v>
      </c>
      <c r="Q201" t="s">
        <v>13</v>
      </c>
      <c r="R201">
        <v>9</v>
      </c>
      <c r="S201" t="s">
        <v>13</v>
      </c>
      <c r="T201" t="s">
        <v>13</v>
      </c>
      <c r="U201" s="1">
        <f>Table1[[#This Row],[End Datetime]]-Table1[[#This Row],[Start Datetime]]</f>
        <v>1.1430555555562023</v>
      </c>
    </row>
    <row r="202" spans="1:21" x14ac:dyDescent="0.2">
      <c r="A202" t="s">
        <v>167</v>
      </c>
      <c r="B202" s="2">
        <v>4</v>
      </c>
      <c r="C202" s="2">
        <v>7</v>
      </c>
      <c r="D202" s="8">
        <v>44404.647222222222</v>
      </c>
      <c r="E202" s="8">
        <v>44405.411805555559</v>
      </c>
      <c r="F202" s="1">
        <v>0.64722222222222225</v>
      </c>
      <c r="G202" s="1">
        <v>0.41180555555555554</v>
      </c>
      <c r="H202" t="s">
        <v>11</v>
      </c>
      <c r="I202">
        <v>54.040894000000002</v>
      </c>
      <c r="J202">
        <v>-124.50251299999999</v>
      </c>
      <c r="K202" t="s">
        <v>12</v>
      </c>
      <c r="L202" t="s">
        <v>33</v>
      </c>
      <c r="M202" t="s">
        <v>13</v>
      </c>
      <c r="N202">
        <v>0</v>
      </c>
      <c r="O202">
        <v>0</v>
      </c>
      <c r="P202" t="s">
        <v>92</v>
      </c>
      <c r="Q202" t="s">
        <v>13</v>
      </c>
      <c r="R202">
        <v>16.899999999999999</v>
      </c>
      <c r="S202">
        <v>10</v>
      </c>
      <c r="T202" t="s">
        <v>91</v>
      </c>
      <c r="U202" s="1">
        <f>Table1[[#This Row],[End Datetime]]-Table1[[#This Row],[Start Datetime]]</f>
        <v>0.76458333333721384</v>
      </c>
    </row>
    <row r="203" spans="1:21" x14ac:dyDescent="0.2">
      <c r="A203" t="s">
        <v>166</v>
      </c>
      <c r="B203" s="2">
        <v>4</v>
      </c>
      <c r="C203" s="15">
        <v>7</v>
      </c>
      <c r="D203" s="18">
        <v>44405.411805555559</v>
      </c>
      <c r="E203" s="18">
        <v>44406.532638888886</v>
      </c>
      <c r="F203" s="1">
        <v>0.41180555555555554</v>
      </c>
      <c r="G203" s="1">
        <v>0.53263888888888888</v>
      </c>
      <c r="H203" t="s">
        <v>11</v>
      </c>
      <c r="I203">
        <v>54.042138000000001</v>
      </c>
      <c r="J203">
        <v>-124.501752</v>
      </c>
      <c r="K203" t="s">
        <v>12</v>
      </c>
      <c r="L203" t="s">
        <v>33</v>
      </c>
      <c r="M203" t="s">
        <v>303</v>
      </c>
      <c r="N203">
        <v>1</v>
      </c>
      <c r="O203">
        <v>0</v>
      </c>
      <c r="P203" t="s">
        <v>92</v>
      </c>
      <c r="Q203" t="s">
        <v>13</v>
      </c>
      <c r="R203">
        <v>9.6</v>
      </c>
      <c r="S203" t="s">
        <v>13</v>
      </c>
      <c r="T203" t="s">
        <v>13</v>
      </c>
      <c r="U203" s="1">
        <f>Table1[[#This Row],[End Datetime]]-Table1[[#This Row],[Start Datetime]]</f>
        <v>1.1208333333270275</v>
      </c>
    </row>
    <row r="204" spans="1:21" x14ac:dyDescent="0.2">
      <c r="A204" t="s">
        <v>247</v>
      </c>
      <c r="B204" s="21">
        <v>4</v>
      </c>
      <c r="C204" s="21">
        <v>10</v>
      </c>
      <c r="D204" s="19">
        <v>44474.586805555555</v>
      </c>
      <c r="E204" s="19">
        <v>44475.534722222219</v>
      </c>
      <c r="F204" s="1">
        <v>0.58680555555555558</v>
      </c>
      <c r="G204" s="1">
        <v>0.53472222222222221</v>
      </c>
      <c r="H204" t="s">
        <v>11</v>
      </c>
      <c r="I204">
        <v>54.071300000000001</v>
      </c>
      <c r="J204">
        <v>-124.88094</v>
      </c>
      <c r="K204" t="s">
        <v>12</v>
      </c>
      <c r="L204" t="s">
        <v>33</v>
      </c>
      <c r="M204" t="s">
        <v>13</v>
      </c>
      <c r="N204">
        <v>0</v>
      </c>
      <c r="O204">
        <v>0</v>
      </c>
      <c r="P204" t="s">
        <v>15</v>
      </c>
      <c r="Q204">
        <v>200</v>
      </c>
      <c r="R204">
        <v>8.9</v>
      </c>
      <c r="S204" t="s">
        <v>13</v>
      </c>
      <c r="T204" t="s">
        <v>13</v>
      </c>
      <c r="U204" s="1">
        <f>Table1[[#This Row],[End Datetime]]-Table1[[#This Row],[Start Datetime]]</f>
        <v>0.94791666666424135</v>
      </c>
    </row>
    <row r="205" spans="1:21" x14ac:dyDescent="0.2">
      <c r="A205" t="s">
        <v>251</v>
      </c>
      <c r="B205" s="21">
        <v>4</v>
      </c>
      <c r="C205" s="21">
        <v>10</v>
      </c>
      <c r="D205" s="19">
        <v>44474.642361111109</v>
      </c>
      <c r="E205" s="19">
        <v>44475.520833333336</v>
      </c>
      <c r="F205" s="1">
        <v>0.64236111111111105</v>
      </c>
      <c r="G205" s="1">
        <v>0.52083333333333337</v>
      </c>
      <c r="H205" t="s">
        <v>11</v>
      </c>
      <c r="I205">
        <v>54.056699999999999</v>
      </c>
      <c r="J205">
        <v>-124.80747</v>
      </c>
      <c r="K205" t="s">
        <v>12</v>
      </c>
      <c r="L205" t="s">
        <v>33</v>
      </c>
      <c r="M205" t="s">
        <v>13</v>
      </c>
      <c r="N205">
        <v>0</v>
      </c>
      <c r="O205">
        <v>0</v>
      </c>
      <c r="P205" t="s">
        <v>15</v>
      </c>
      <c r="Q205">
        <v>200</v>
      </c>
      <c r="R205">
        <v>5.4</v>
      </c>
      <c r="S205" t="s">
        <v>13</v>
      </c>
      <c r="T205" t="s">
        <v>13</v>
      </c>
      <c r="U205" s="1">
        <f>Table1[[#This Row],[End Datetime]]-Table1[[#This Row],[Start Datetime]]</f>
        <v>0.87847222222626442</v>
      </c>
    </row>
    <row r="206" spans="1:21" x14ac:dyDescent="0.2">
      <c r="A206" t="s">
        <v>250</v>
      </c>
      <c r="B206" s="12">
        <v>4</v>
      </c>
      <c r="C206" s="12">
        <v>10</v>
      </c>
      <c r="D206" s="14">
        <v>44474.635416666664</v>
      </c>
      <c r="E206" s="14">
        <v>44475.517361111109</v>
      </c>
      <c r="F206" s="1">
        <v>0.63541666666666663</v>
      </c>
      <c r="G206" s="1">
        <v>0.51736111111111105</v>
      </c>
      <c r="H206" t="s">
        <v>11</v>
      </c>
      <c r="I206">
        <v>54.057589999999998</v>
      </c>
      <c r="J206">
        <v>-124.79577999999999</v>
      </c>
      <c r="K206" t="s">
        <v>12</v>
      </c>
      <c r="L206" t="s">
        <v>33</v>
      </c>
      <c r="M206" t="s">
        <v>13</v>
      </c>
      <c r="N206">
        <v>0</v>
      </c>
      <c r="O206">
        <v>0</v>
      </c>
      <c r="P206" t="s">
        <v>15</v>
      </c>
      <c r="Q206">
        <v>200</v>
      </c>
      <c r="R206">
        <v>9</v>
      </c>
      <c r="S206" t="s">
        <v>13</v>
      </c>
      <c r="T206" t="s">
        <v>13</v>
      </c>
      <c r="U206" s="1">
        <f>Table1[[#This Row],[End Datetime]]-Table1[[#This Row],[Start Datetime]]</f>
        <v>0.88194444444525288</v>
      </c>
    </row>
    <row r="207" spans="1:21" x14ac:dyDescent="0.2">
      <c r="A207" t="s">
        <v>244</v>
      </c>
      <c r="B207" s="12">
        <v>4</v>
      </c>
      <c r="C207" s="12">
        <v>10</v>
      </c>
      <c r="D207" s="14">
        <v>44474.576388888891</v>
      </c>
      <c r="E207" s="14">
        <v>44475.439583333333</v>
      </c>
      <c r="F207" s="1">
        <v>0.57638888888888895</v>
      </c>
      <c r="G207" s="1">
        <v>0.43958333333333338</v>
      </c>
      <c r="H207" t="s">
        <v>11</v>
      </c>
      <c r="I207">
        <v>54.07882</v>
      </c>
      <c r="J207">
        <v>-124.83745999999999</v>
      </c>
      <c r="K207" t="s">
        <v>12</v>
      </c>
      <c r="L207" t="s">
        <v>33</v>
      </c>
      <c r="M207" t="s">
        <v>13</v>
      </c>
      <c r="N207">
        <v>0</v>
      </c>
      <c r="O207">
        <v>0</v>
      </c>
      <c r="P207" t="s">
        <v>15</v>
      </c>
      <c r="Q207">
        <v>200</v>
      </c>
      <c r="R207">
        <v>4.5</v>
      </c>
      <c r="S207" t="s">
        <v>13</v>
      </c>
      <c r="T207" t="s">
        <v>13</v>
      </c>
      <c r="U207" s="1">
        <f>Table1[[#This Row],[End Datetime]]-Table1[[#This Row],[Start Datetime]]</f>
        <v>0.8631944444423425</v>
      </c>
    </row>
    <row r="208" spans="1:21" x14ac:dyDescent="0.2">
      <c r="A208" t="s">
        <v>256</v>
      </c>
      <c r="B208" s="12">
        <v>4</v>
      </c>
      <c r="C208" s="12">
        <v>10</v>
      </c>
      <c r="D208" s="14">
        <v>44474.659722222219</v>
      </c>
      <c r="E208" s="14">
        <v>44475.541666666664</v>
      </c>
      <c r="F208" s="1">
        <v>0.65972222222222221</v>
      </c>
      <c r="G208" s="1">
        <v>0.54166666666666663</v>
      </c>
      <c r="H208" t="s">
        <v>11</v>
      </c>
      <c r="I208">
        <v>54.059519999999999</v>
      </c>
      <c r="J208">
        <v>-124.87842999999999</v>
      </c>
      <c r="K208" t="s">
        <v>12</v>
      </c>
      <c r="L208" t="s">
        <v>33</v>
      </c>
      <c r="M208" t="s">
        <v>303</v>
      </c>
      <c r="N208">
        <v>1</v>
      </c>
      <c r="O208">
        <v>0</v>
      </c>
      <c r="P208" t="s">
        <v>15</v>
      </c>
      <c r="Q208">
        <v>200</v>
      </c>
      <c r="R208">
        <v>9.5</v>
      </c>
      <c r="S208" t="s">
        <v>13</v>
      </c>
      <c r="T208" t="s">
        <v>13</v>
      </c>
      <c r="U208" s="1">
        <f>Table1[[#This Row],[End Datetime]]-Table1[[#This Row],[Start Datetime]]</f>
        <v>0.88194444444525288</v>
      </c>
    </row>
    <row r="209" spans="1:21" x14ac:dyDescent="0.2">
      <c r="A209" t="s">
        <v>242</v>
      </c>
      <c r="B209" s="12">
        <v>4</v>
      </c>
      <c r="C209" s="12">
        <v>10</v>
      </c>
      <c r="D209" s="14">
        <v>44474.5625</v>
      </c>
      <c r="E209" s="14">
        <v>44475.447916666664</v>
      </c>
      <c r="F209" s="1">
        <v>0.5625</v>
      </c>
      <c r="G209" s="1">
        <v>0.44791666666666669</v>
      </c>
      <c r="H209" t="s">
        <v>11</v>
      </c>
      <c r="I209">
        <v>54.069589999999998</v>
      </c>
      <c r="J209">
        <v>-124.8274</v>
      </c>
      <c r="K209" t="s">
        <v>12</v>
      </c>
      <c r="L209" t="s">
        <v>33</v>
      </c>
      <c r="M209" t="s">
        <v>13</v>
      </c>
      <c r="N209">
        <v>0</v>
      </c>
      <c r="O209">
        <v>0</v>
      </c>
      <c r="P209" t="s">
        <v>15</v>
      </c>
      <c r="Q209">
        <v>200</v>
      </c>
      <c r="R209">
        <v>8</v>
      </c>
      <c r="S209" t="s">
        <v>13</v>
      </c>
      <c r="T209" t="s">
        <v>13</v>
      </c>
      <c r="U209" s="1">
        <f>Table1[[#This Row],[End Datetime]]-Table1[[#This Row],[Start Datetime]]</f>
        <v>0.88541666666424135</v>
      </c>
    </row>
    <row r="210" spans="1:21" x14ac:dyDescent="0.2">
      <c r="A210" t="s">
        <v>248</v>
      </c>
      <c r="B210" s="12">
        <v>4</v>
      </c>
      <c r="C210" s="12">
        <v>10</v>
      </c>
      <c r="D210" s="14">
        <v>44474.590277777781</v>
      </c>
      <c r="E210" s="14">
        <v>44475.538194444445</v>
      </c>
      <c r="F210" s="1">
        <v>0.59027777777777779</v>
      </c>
      <c r="G210" s="1">
        <v>0.53819444444444442</v>
      </c>
      <c r="H210" t="s">
        <v>11</v>
      </c>
      <c r="I210">
        <v>54.065910000000002</v>
      </c>
      <c r="J210">
        <v>-124.87972000000001</v>
      </c>
      <c r="K210" t="s">
        <v>12</v>
      </c>
      <c r="L210" t="s">
        <v>33</v>
      </c>
      <c r="M210" t="s">
        <v>13</v>
      </c>
      <c r="N210">
        <v>0</v>
      </c>
      <c r="O210">
        <v>0</v>
      </c>
      <c r="P210" t="s">
        <v>15</v>
      </c>
      <c r="Q210">
        <v>200</v>
      </c>
      <c r="R210">
        <v>8</v>
      </c>
      <c r="S210" t="s">
        <v>13</v>
      </c>
      <c r="T210" t="s">
        <v>249</v>
      </c>
      <c r="U210" s="1">
        <f>Table1[[#This Row],[End Datetime]]-Table1[[#This Row],[Start Datetime]]</f>
        <v>0.94791666666424135</v>
      </c>
    </row>
    <row r="211" spans="1:21" x14ac:dyDescent="0.2">
      <c r="A211" t="s">
        <v>253</v>
      </c>
      <c r="B211" s="12">
        <v>4</v>
      </c>
      <c r="C211" s="12">
        <v>10</v>
      </c>
      <c r="D211" s="14">
        <v>44474.649305555555</v>
      </c>
      <c r="E211" s="14">
        <v>44475.552083333336</v>
      </c>
      <c r="F211" s="1">
        <v>0.64930555555555558</v>
      </c>
      <c r="G211" s="1">
        <v>0.55208333333333337</v>
      </c>
      <c r="H211" t="s">
        <v>11</v>
      </c>
      <c r="I211">
        <v>54.063670000000002</v>
      </c>
      <c r="J211">
        <v>-124.85033</v>
      </c>
      <c r="K211" t="s">
        <v>12</v>
      </c>
      <c r="L211" t="s">
        <v>33</v>
      </c>
      <c r="M211" t="s">
        <v>20</v>
      </c>
      <c r="N211">
        <v>1</v>
      </c>
      <c r="O211">
        <v>1</v>
      </c>
      <c r="P211" t="s">
        <v>15</v>
      </c>
      <c r="Q211">
        <v>200</v>
      </c>
      <c r="R211">
        <v>8.5</v>
      </c>
      <c r="S211" t="s">
        <v>13</v>
      </c>
      <c r="T211" t="s">
        <v>13</v>
      </c>
      <c r="U211" s="1">
        <f>Table1[[#This Row],[End Datetime]]-Table1[[#This Row],[Start Datetime]]</f>
        <v>0.90277777778101154</v>
      </c>
    </row>
    <row r="212" spans="1:21" x14ac:dyDescent="0.2">
      <c r="A212" t="s">
        <v>241</v>
      </c>
      <c r="B212" s="12">
        <v>4</v>
      </c>
      <c r="C212" s="12">
        <v>10</v>
      </c>
      <c r="D212" s="14">
        <v>44474.559027777781</v>
      </c>
      <c r="E212" s="14">
        <v>44475.451388888891</v>
      </c>
      <c r="F212" s="1">
        <v>0.55902777777777779</v>
      </c>
      <c r="G212" s="1">
        <v>0.4513888888888889</v>
      </c>
      <c r="H212" t="s">
        <v>11</v>
      </c>
      <c r="I212">
        <v>54.06915</v>
      </c>
      <c r="J212">
        <v>-124.82138999999999</v>
      </c>
      <c r="K212" t="s">
        <v>12</v>
      </c>
      <c r="L212" t="s">
        <v>33</v>
      </c>
      <c r="M212" t="s">
        <v>13</v>
      </c>
      <c r="N212">
        <v>0</v>
      </c>
      <c r="O212">
        <v>0</v>
      </c>
      <c r="P212" t="s">
        <v>15</v>
      </c>
      <c r="Q212">
        <v>200</v>
      </c>
      <c r="R212">
        <v>6.1</v>
      </c>
      <c r="S212" t="s">
        <v>13</v>
      </c>
      <c r="T212" t="s">
        <v>13</v>
      </c>
      <c r="U212" s="1">
        <f>Table1[[#This Row],[End Datetime]]-Table1[[#This Row],[Start Datetime]]</f>
        <v>0.89236111110949423</v>
      </c>
    </row>
    <row r="213" spans="1:21" x14ac:dyDescent="0.2">
      <c r="A213" t="s">
        <v>252</v>
      </c>
      <c r="B213" s="12">
        <v>4</v>
      </c>
      <c r="C213" s="12">
        <v>10</v>
      </c>
      <c r="D213" s="14">
        <v>44474.645833333336</v>
      </c>
      <c r="E213" s="14">
        <v>44475.524305555555</v>
      </c>
      <c r="F213" s="1">
        <v>0.64583333333333337</v>
      </c>
      <c r="G213" s="1">
        <v>0.52430555555555558</v>
      </c>
      <c r="H213" t="s">
        <v>11</v>
      </c>
      <c r="I213">
        <v>54.057940000000002</v>
      </c>
      <c r="J213">
        <v>-124.81155</v>
      </c>
      <c r="K213" t="s">
        <v>12</v>
      </c>
      <c r="L213" t="s">
        <v>33</v>
      </c>
      <c r="M213" t="s">
        <v>223</v>
      </c>
      <c r="N213">
        <v>1</v>
      </c>
      <c r="O213">
        <v>0</v>
      </c>
      <c r="P213" t="s">
        <v>15</v>
      </c>
      <c r="Q213">
        <v>200</v>
      </c>
      <c r="R213">
        <v>6</v>
      </c>
      <c r="S213" t="s">
        <v>13</v>
      </c>
      <c r="T213" t="s">
        <v>13</v>
      </c>
      <c r="U213" s="1">
        <f>Table1[[#This Row],[End Datetime]]-Table1[[#This Row],[Start Datetime]]</f>
        <v>0.87847222221898846</v>
      </c>
    </row>
    <row r="214" spans="1:21" x14ac:dyDescent="0.2">
      <c r="A214" t="s">
        <v>243</v>
      </c>
      <c r="B214" s="12">
        <v>4</v>
      </c>
      <c r="C214" s="12">
        <v>10</v>
      </c>
      <c r="D214" s="14">
        <v>44474.572916666664</v>
      </c>
      <c r="E214" s="14">
        <v>44475.441666666666</v>
      </c>
      <c r="F214" s="1">
        <v>0.57291666666666663</v>
      </c>
      <c r="G214" s="1">
        <v>0.44166666666666665</v>
      </c>
      <c r="H214" t="s">
        <v>11</v>
      </c>
      <c r="I214">
        <v>54.08034</v>
      </c>
      <c r="J214">
        <v>-124.83582</v>
      </c>
      <c r="K214" t="s">
        <v>12</v>
      </c>
      <c r="L214" t="s">
        <v>33</v>
      </c>
      <c r="M214" t="s">
        <v>13</v>
      </c>
      <c r="N214">
        <v>0</v>
      </c>
      <c r="O214">
        <v>0</v>
      </c>
      <c r="P214" t="s">
        <v>15</v>
      </c>
      <c r="Q214">
        <v>200</v>
      </c>
      <c r="R214">
        <v>4.2</v>
      </c>
      <c r="S214" t="s">
        <v>13</v>
      </c>
      <c r="T214" t="s">
        <v>13</v>
      </c>
      <c r="U214" s="1">
        <f>Table1[[#This Row],[End Datetime]]-Table1[[#This Row],[Start Datetime]]</f>
        <v>0.86875000000145519</v>
      </c>
    </row>
    <row r="215" spans="1:21" x14ac:dyDescent="0.2">
      <c r="A215" t="s">
        <v>240</v>
      </c>
      <c r="B215" s="12">
        <v>4</v>
      </c>
      <c r="C215" s="12">
        <v>10</v>
      </c>
      <c r="D215" s="14">
        <v>44474.555555555555</v>
      </c>
      <c r="E215" s="14">
        <v>44475.454861111109</v>
      </c>
      <c r="F215" s="1">
        <v>0.55555555555555558</v>
      </c>
      <c r="G215" s="1">
        <v>0.4548611111111111</v>
      </c>
      <c r="H215" t="s">
        <v>11</v>
      </c>
      <c r="I215">
        <v>54.068869999999997</v>
      </c>
      <c r="J215">
        <v>-124.81937000000001</v>
      </c>
      <c r="K215" t="s">
        <v>12</v>
      </c>
      <c r="L215" t="s">
        <v>33</v>
      </c>
      <c r="M215" t="s">
        <v>13</v>
      </c>
      <c r="N215">
        <v>0</v>
      </c>
      <c r="O215">
        <v>0</v>
      </c>
      <c r="P215" t="s">
        <v>15</v>
      </c>
      <c r="Q215">
        <v>200</v>
      </c>
      <c r="R215">
        <v>6.8</v>
      </c>
      <c r="S215" t="s">
        <v>13</v>
      </c>
      <c r="T215" t="s">
        <v>13</v>
      </c>
      <c r="U215" s="1">
        <f>Table1[[#This Row],[End Datetime]]-Table1[[#This Row],[Start Datetime]]</f>
        <v>0.89930555555474712</v>
      </c>
    </row>
    <row r="216" spans="1:21" x14ac:dyDescent="0.2">
      <c r="A216" t="s">
        <v>239</v>
      </c>
      <c r="B216" s="3">
        <v>4</v>
      </c>
      <c r="C216" s="3">
        <v>10</v>
      </c>
      <c r="D216" s="11">
        <v>44474.552083333336</v>
      </c>
      <c r="E216" s="11">
        <v>44475.461805555555</v>
      </c>
      <c r="F216" s="1">
        <v>0.55208333333333337</v>
      </c>
      <c r="G216" s="1">
        <v>0.46180555555555558</v>
      </c>
      <c r="H216" t="s">
        <v>11</v>
      </c>
      <c r="I216">
        <v>54.072470000000003</v>
      </c>
      <c r="J216">
        <v>-124.80262999999999</v>
      </c>
      <c r="K216" t="s">
        <v>12</v>
      </c>
      <c r="L216" t="s">
        <v>33</v>
      </c>
      <c r="M216" t="s">
        <v>303</v>
      </c>
      <c r="N216">
        <v>1</v>
      </c>
      <c r="O216">
        <v>0</v>
      </c>
      <c r="P216" t="s">
        <v>15</v>
      </c>
      <c r="Q216">
        <v>200</v>
      </c>
      <c r="R216">
        <v>7.3</v>
      </c>
      <c r="S216" t="s">
        <v>13</v>
      </c>
      <c r="T216" t="s">
        <v>13</v>
      </c>
      <c r="U216" s="1">
        <f>Table1[[#This Row],[End Datetime]]-Table1[[#This Row],[Start Datetime]]</f>
        <v>0.90972222221898846</v>
      </c>
    </row>
    <row r="217" spans="1:21" x14ac:dyDescent="0.2">
      <c r="A217" t="s">
        <v>245</v>
      </c>
      <c r="B217" s="12">
        <v>4</v>
      </c>
      <c r="C217" s="12">
        <v>10</v>
      </c>
      <c r="D217" s="14">
        <v>44474.579861111109</v>
      </c>
      <c r="E217" s="14">
        <v>44475.4375</v>
      </c>
      <c r="F217" s="1">
        <v>0.57986111111111105</v>
      </c>
      <c r="G217" s="1">
        <v>0.4375</v>
      </c>
      <c r="H217" t="s">
        <v>11</v>
      </c>
      <c r="I217">
        <v>54.079450000000001</v>
      </c>
      <c r="J217">
        <v>-124.84520999999999</v>
      </c>
      <c r="K217" t="s">
        <v>12</v>
      </c>
      <c r="L217" t="s">
        <v>33</v>
      </c>
      <c r="M217" t="s">
        <v>303</v>
      </c>
      <c r="N217">
        <v>2</v>
      </c>
      <c r="O217">
        <v>0</v>
      </c>
      <c r="P217" t="s">
        <v>15</v>
      </c>
      <c r="Q217">
        <v>200</v>
      </c>
      <c r="R217">
        <v>4.4000000000000004</v>
      </c>
      <c r="S217" t="s">
        <v>13</v>
      </c>
      <c r="T217" t="s">
        <v>246</v>
      </c>
      <c r="U217" s="1">
        <f>Table1[[#This Row],[End Datetime]]-Table1[[#This Row],[Start Datetime]]</f>
        <v>0.85763888889050577</v>
      </c>
    </row>
    <row r="218" spans="1:21" x14ac:dyDescent="0.2">
      <c r="A218" t="s">
        <v>254</v>
      </c>
      <c r="B218" s="12">
        <v>4</v>
      </c>
      <c r="C218" s="12">
        <v>10</v>
      </c>
      <c r="D218" s="14">
        <v>44474.652777777781</v>
      </c>
      <c r="E218" s="14">
        <v>44475.548611111109</v>
      </c>
      <c r="F218" s="1">
        <v>0.65277777777777779</v>
      </c>
      <c r="G218" s="1">
        <v>0.54861111111111105</v>
      </c>
      <c r="H218" t="s">
        <v>11</v>
      </c>
      <c r="I218">
        <v>54.058639999999997</v>
      </c>
      <c r="J218">
        <v>-124.86404</v>
      </c>
      <c r="K218" t="s">
        <v>12</v>
      </c>
      <c r="L218" t="s">
        <v>33</v>
      </c>
      <c r="M218" t="s">
        <v>13</v>
      </c>
      <c r="N218">
        <v>0</v>
      </c>
      <c r="O218">
        <v>0</v>
      </c>
      <c r="P218" t="s">
        <v>15</v>
      </c>
      <c r="Q218">
        <v>200</v>
      </c>
      <c r="R218">
        <v>5.2</v>
      </c>
      <c r="S218" t="s">
        <v>13</v>
      </c>
      <c r="T218" t="s">
        <v>255</v>
      </c>
      <c r="U218" s="1">
        <f>Table1[[#This Row],[End Datetime]]-Table1[[#This Row],[Start Datetime]]</f>
        <v>0.89583333332848269</v>
      </c>
    </row>
    <row r="219" spans="1:21" x14ac:dyDescent="0.2">
      <c r="A219" t="s">
        <v>238</v>
      </c>
      <c r="B219" s="3">
        <v>4</v>
      </c>
      <c r="C219" s="3">
        <v>10</v>
      </c>
      <c r="D219" s="11">
        <v>44474.541666666664</v>
      </c>
      <c r="E219" s="11">
        <v>44475.458333333336</v>
      </c>
      <c r="F219" s="1">
        <v>0.54166666666666663</v>
      </c>
      <c r="G219" s="1">
        <v>0.45833333333333331</v>
      </c>
      <c r="H219" t="s">
        <v>11</v>
      </c>
      <c r="I219">
        <v>54.072839999999999</v>
      </c>
      <c r="J219">
        <v>-124.80515</v>
      </c>
      <c r="K219" t="s">
        <v>12</v>
      </c>
      <c r="L219" t="s">
        <v>33</v>
      </c>
      <c r="M219" t="s">
        <v>13</v>
      </c>
      <c r="N219">
        <v>0</v>
      </c>
      <c r="O219">
        <v>0</v>
      </c>
      <c r="P219" t="s">
        <v>15</v>
      </c>
      <c r="Q219">
        <v>200</v>
      </c>
      <c r="R219">
        <v>6.2</v>
      </c>
      <c r="S219" t="s">
        <v>13</v>
      </c>
      <c r="T219" t="s">
        <v>13</v>
      </c>
      <c r="U219" s="1">
        <f>Table1[[#This Row],[End Datetime]]-Table1[[#This Row],[Start Datetime]]</f>
        <v>0.91666666667151731</v>
      </c>
    </row>
    <row r="220" spans="1:21" x14ac:dyDescent="0.2">
      <c r="U220" s="1"/>
    </row>
    <row r="221" spans="1:21" x14ac:dyDescent="0.2">
      <c r="U221" s="1"/>
    </row>
    <row r="222" spans="1:21" x14ac:dyDescent="0.2">
      <c r="O222" t="s">
        <v>306</v>
      </c>
      <c r="U222" s="1"/>
    </row>
    <row r="223" spans="1:21" x14ac:dyDescent="0.2">
      <c r="U223" s="1"/>
    </row>
    <row r="224" spans="1:21" x14ac:dyDescent="0.2">
      <c r="U224" s="1"/>
    </row>
    <row r="225" spans="21:21" x14ac:dyDescent="0.2">
      <c r="U225" s="1"/>
    </row>
    <row r="226" spans="21:21" x14ac:dyDescent="0.2">
      <c r="U226" s="1"/>
    </row>
    <row r="227" spans="21:21" x14ac:dyDescent="0.2">
      <c r="U227" s="1"/>
    </row>
    <row r="228" spans="21:21" x14ac:dyDescent="0.2">
      <c r="U228" s="1"/>
    </row>
    <row r="229" spans="21:21" x14ac:dyDescent="0.2">
      <c r="U229" s="1"/>
    </row>
    <row r="230" spans="21:21" x14ac:dyDescent="0.2">
      <c r="U230" s="1"/>
    </row>
    <row r="231" spans="21:21" x14ac:dyDescent="0.2">
      <c r="U231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Elizabeth Hirsch</cp:lastModifiedBy>
  <dcterms:created xsi:type="dcterms:W3CDTF">2021-08-16T22:26:54Z</dcterms:created>
  <dcterms:modified xsi:type="dcterms:W3CDTF">2024-04-05T17:22:32Z</dcterms:modified>
</cp:coreProperties>
</file>