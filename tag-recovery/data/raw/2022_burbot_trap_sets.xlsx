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09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elh/bb-omineca-tag-rec/bb-omineca-tag-rec/data/raw/"/>
    </mc:Choice>
  </mc:AlternateContent>
  <xr:revisionPtr revIDLastSave="0" documentId="13_ncr:1_{6241CDD4-9B84-CF47-BFA6-DFF11F735405}" xr6:coauthVersionLast="47" xr6:coauthVersionMax="47" xr10:uidLastSave="{00000000-0000-0000-0000-000000000000}"/>
  <bookViews>
    <workbookView xWindow="740" yWindow="500" windowWidth="24540" windowHeight="16940" xr2:uid="{7556116E-2626-A94D-8E16-7D7998C3D738}"/>
  </bookViews>
  <sheets>
    <sheet name="2022_burbot_trap_se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82" i="1" l="1"/>
  <c r="P49" i="1"/>
  <c r="P81" i="1"/>
  <c r="P48" i="1"/>
  <c r="P102" i="1"/>
  <c r="P80" i="1"/>
  <c r="P47" i="1"/>
  <c r="P113" i="1"/>
  <c r="P112" i="1"/>
  <c r="P46" i="1"/>
  <c r="P79" i="1"/>
  <c r="P45" i="1"/>
  <c r="P78" i="1"/>
  <c r="P44" i="1"/>
  <c r="P111" i="1"/>
  <c r="P110" i="1"/>
  <c r="P77" i="1"/>
  <c r="P101" i="1"/>
  <c r="P100" i="1"/>
  <c r="P76" i="1"/>
  <c r="P43" i="1"/>
  <c r="P99" i="1"/>
  <c r="P42" i="1"/>
  <c r="P75" i="1"/>
  <c r="P109" i="1"/>
  <c r="P108" i="1"/>
  <c r="P107" i="1"/>
  <c r="P41" i="1"/>
  <c r="P74" i="1"/>
  <c r="P106" i="1"/>
  <c r="P40" i="1"/>
  <c r="P73" i="1"/>
  <c r="P39" i="1"/>
  <c r="P72" i="1"/>
  <c r="P38" i="1"/>
  <c r="P98" i="1"/>
  <c r="P37" i="1"/>
  <c r="P63" i="1"/>
  <c r="P91" i="1"/>
  <c r="P14" i="1"/>
  <c r="P64" i="1"/>
  <c r="P15" i="1"/>
  <c r="P62" i="1"/>
  <c r="P12" i="1"/>
  <c r="P61" i="1"/>
  <c r="P11" i="1"/>
  <c r="P60" i="1"/>
  <c r="P10" i="1"/>
  <c r="P90" i="1"/>
  <c r="P9" i="1"/>
  <c r="P58" i="1"/>
  <c r="P8" i="1"/>
  <c r="P29" i="1"/>
  <c r="P96" i="1"/>
  <c r="P95" i="1"/>
  <c r="P7" i="1"/>
  <c r="P28" i="1"/>
  <c r="P94" i="1"/>
  <c r="P93" i="1"/>
  <c r="P27" i="1"/>
  <c r="P6" i="1"/>
  <c r="P26" i="1"/>
  <c r="P25" i="1"/>
  <c r="P5" i="1"/>
  <c r="P24" i="1"/>
</calcChain>
</file>

<file path=xl/sharedStrings.xml><?xml version="1.0" encoding="utf-8"?>
<sst xmlns="http://schemas.openxmlformats.org/spreadsheetml/2006/main" count="2681" uniqueCount="757">
  <si>
    <t>Lake name</t>
  </si>
  <si>
    <t>Trap waypoint</t>
  </si>
  <si>
    <t>Start date</t>
  </si>
  <si>
    <t>Start time</t>
  </si>
  <si>
    <t>End date</t>
  </si>
  <si>
    <t>End time</t>
  </si>
  <si>
    <t>Lat</t>
  </si>
  <si>
    <t>Lon</t>
  </si>
  <si>
    <t>Method</t>
  </si>
  <si>
    <t>Depth (m)</t>
  </si>
  <si>
    <t>Temperature (degrees C)</t>
  </si>
  <si>
    <t>Species</t>
  </si>
  <si>
    <t>Count fish</t>
  </si>
  <si>
    <t>Burbot Floy number</t>
  </si>
  <si>
    <t>Burbot length (cm)</t>
  </si>
  <si>
    <t>Burbot weight (g)</t>
  </si>
  <si>
    <t>Bait type</t>
  </si>
  <si>
    <t>Bait weight (g)</t>
  </si>
  <si>
    <t>Comments</t>
  </si>
  <si>
    <t>Fraser Lake</t>
  </si>
  <si>
    <t>TZ1-201</t>
  </si>
  <si>
    <t>54.093738</t>
  </si>
  <si>
    <t>124.642272</t>
  </si>
  <si>
    <t>CT</t>
  </si>
  <si>
    <t>NA</t>
  </si>
  <si>
    <t>Nulki RB</t>
  </si>
  <si>
    <t>TZ1-21</t>
  </si>
  <si>
    <t>54.078429</t>
  </si>
  <si>
    <t>124.614660</t>
  </si>
  <si>
    <t>TZ1-218</t>
  </si>
  <si>
    <t>54.077121</t>
  </si>
  <si>
    <t>124.617218</t>
  </si>
  <si>
    <t>BB</t>
  </si>
  <si>
    <t>TZ1-229</t>
  </si>
  <si>
    <t>54.086283</t>
  </si>
  <si>
    <t>124.624330</t>
  </si>
  <si>
    <t>TZ1-246</t>
  </si>
  <si>
    <t>54.083077</t>
  </si>
  <si>
    <t>124.627914</t>
  </si>
  <si>
    <t>TZ1-29</t>
  </si>
  <si>
    <t>54.088846</t>
  </si>
  <si>
    <t>124.627234</t>
  </si>
  <si>
    <t>TZ1-293</t>
  </si>
  <si>
    <t>54.088258</t>
  </si>
  <si>
    <t>TZ1-345</t>
  </si>
  <si>
    <t>54.065520</t>
  </si>
  <si>
    <t>124.639921</t>
  </si>
  <si>
    <t>TZ1-26</t>
  </si>
  <si>
    <t>54.072660</t>
  </si>
  <si>
    <t>124.669975</t>
  </si>
  <si>
    <t>TZ1-299</t>
  </si>
  <si>
    <t>54.074223</t>
  </si>
  <si>
    <t>124.669316</t>
  </si>
  <si>
    <t>TZ1-308</t>
  </si>
  <si>
    <t>54.071922</t>
  </si>
  <si>
    <t>124.663232</t>
  </si>
  <si>
    <t>TZ1-318</t>
  </si>
  <si>
    <t>54.065951</t>
  </si>
  <si>
    <t>124.620192</t>
  </si>
  <si>
    <t>TZ1-327</t>
  </si>
  <si>
    <t>54.059704</t>
  </si>
  <si>
    <t>124.631342</t>
  </si>
  <si>
    <t>TZ1-331</t>
  </si>
  <si>
    <t>54.071461</t>
  </si>
  <si>
    <t>124.666744</t>
  </si>
  <si>
    <t>TZ1-51</t>
  </si>
  <si>
    <t>54.074009</t>
  </si>
  <si>
    <t>124.620935</t>
  </si>
  <si>
    <t>TZ1-798</t>
  </si>
  <si>
    <t>54.071969</t>
  </si>
  <si>
    <t>124.622154</t>
  </si>
  <si>
    <t>TZ2-1098</t>
  </si>
  <si>
    <t>54.087916</t>
  </si>
  <si>
    <t>124.732061</t>
  </si>
  <si>
    <t>TZ2-138</t>
  </si>
  <si>
    <t>54.089742</t>
  </si>
  <si>
    <t>124.732237</t>
  </si>
  <si>
    <t>TZ2-202</t>
  </si>
  <si>
    <t>54.100616</t>
  </si>
  <si>
    <t>124.723023</t>
  </si>
  <si>
    <t>TZ2-295</t>
  </si>
  <si>
    <t>54.099350</t>
  </si>
  <si>
    <t>124.728275</t>
  </si>
  <si>
    <t>TZ2-56</t>
  </si>
  <si>
    <t>54.087528</t>
  </si>
  <si>
    <t>124.734419</t>
  </si>
  <si>
    <t>TZ2-713</t>
  </si>
  <si>
    <t>54.093942</t>
  </si>
  <si>
    <t>124.731138</t>
  </si>
  <si>
    <t>TZ2-864</t>
  </si>
  <si>
    <t>54.095569</t>
  </si>
  <si>
    <t>124.729354</t>
  </si>
  <si>
    <t>TZ2-1396</t>
  </si>
  <si>
    <t>54.074271</t>
  </si>
  <si>
    <t>124.721887</t>
  </si>
  <si>
    <t>moved 50m from waypoint</t>
  </si>
  <si>
    <t>TZ2-14</t>
  </si>
  <si>
    <t>54.070968</t>
  </si>
  <si>
    <t>124.737189</t>
  </si>
  <si>
    <t>TZ2-1402</t>
  </si>
  <si>
    <t>54.075295</t>
  </si>
  <si>
    <t>124.707205</t>
  </si>
  <si>
    <t>TZ2-1403</t>
  </si>
  <si>
    <t>54.071446</t>
  </si>
  <si>
    <t>124.738492</t>
  </si>
  <si>
    <t>TZ2-142M</t>
  </si>
  <si>
    <t>54.073410</t>
  </si>
  <si>
    <t>124.722594</t>
  </si>
  <si>
    <t>TZ2-161M</t>
  </si>
  <si>
    <t>54.074015</t>
  </si>
  <si>
    <t>124.723721</t>
  </si>
  <si>
    <t>TZ2-177</t>
  </si>
  <si>
    <t>54.078712</t>
  </si>
  <si>
    <t>124.690354</t>
  </si>
  <si>
    <t>TZ2-182</t>
  </si>
  <si>
    <t>54.072619</t>
  </si>
  <si>
    <t>124.732753</t>
  </si>
  <si>
    <t>CCG</t>
  </si>
  <si>
    <t>TZ2-199</t>
  </si>
  <si>
    <t>54.075653</t>
  </si>
  <si>
    <t>124.677145</t>
  </si>
  <si>
    <t>Burbot pulled up but escaped - not tagged</t>
  </si>
  <si>
    <t>TZ2-203</t>
  </si>
  <si>
    <t>54.074205</t>
  </si>
  <si>
    <t>124.707138</t>
  </si>
  <si>
    <t xml:space="preserve">moved 45m from waypoint </t>
  </si>
  <si>
    <t>TZ2-213M</t>
  </si>
  <si>
    <t>54.073345</t>
  </si>
  <si>
    <t>124.703399</t>
  </si>
  <si>
    <t>lost bait bag</t>
  </si>
  <si>
    <t>TZ2-226</t>
  </si>
  <si>
    <t>54.074455</t>
  </si>
  <si>
    <t>124.713854</t>
  </si>
  <si>
    <t>TZ2-245</t>
  </si>
  <si>
    <t>54.096158</t>
  </si>
  <si>
    <t>124.728506</t>
  </si>
  <si>
    <t>TZ2-280</t>
  </si>
  <si>
    <t>54.075510</t>
  </si>
  <si>
    <t>124.673219</t>
  </si>
  <si>
    <t>TZ2-309</t>
  </si>
  <si>
    <t>54.076928</t>
  </si>
  <si>
    <t>124.677581</t>
  </si>
  <si>
    <t>TZ3-1117</t>
  </si>
  <si>
    <t>54.087434</t>
  </si>
  <si>
    <t>124.769225</t>
  </si>
  <si>
    <t>TZ3-1119</t>
  </si>
  <si>
    <t>54.066297</t>
  </si>
  <si>
    <t>124.770945</t>
  </si>
  <si>
    <t>TZ3-1122</t>
  </si>
  <si>
    <t>54.094761</t>
  </si>
  <si>
    <t>124.821735</t>
  </si>
  <si>
    <t>TZ3-1137</t>
  </si>
  <si>
    <t>54.097091</t>
  </si>
  <si>
    <t>124.824134</t>
  </si>
  <si>
    <t>TZ3-1138</t>
  </si>
  <si>
    <t>54.075735</t>
  </si>
  <si>
    <t>124.797419</t>
  </si>
  <si>
    <t>TZ3-1184</t>
  </si>
  <si>
    <t>54.091617</t>
  </si>
  <si>
    <t>124.800834</t>
  </si>
  <si>
    <t>TZ3-1192</t>
  </si>
  <si>
    <t>54.081552</t>
  </si>
  <si>
    <t>124.808639</t>
  </si>
  <si>
    <t>TZ3-1197M</t>
  </si>
  <si>
    <t>54.093155</t>
  </si>
  <si>
    <t>124.832500</t>
  </si>
  <si>
    <t>TZ3-12</t>
  </si>
  <si>
    <t>54.095581</t>
  </si>
  <si>
    <t>124.835071</t>
  </si>
  <si>
    <t>not acoustic tagged - gloves not generating shock</t>
  </si>
  <si>
    <t>TZ3-1203M</t>
  </si>
  <si>
    <t>54.094577</t>
  </si>
  <si>
    <t>124.811146</t>
  </si>
  <si>
    <t>TZ3-1217</t>
  </si>
  <si>
    <t>54.092075</t>
  </si>
  <si>
    <t>124.804694</t>
  </si>
  <si>
    <t>TZ3-1230</t>
  </si>
  <si>
    <t>54.073939</t>
  </si>
  <si>
    <t>124.802264</t>
  </si>
  <si>
    <t>TZ3-1235</t>
  </si>
  <si>
    <t>54.099142</t>
  </si>
  <si>
    <t>124.834884</t>
  </si>
  <si>
    <t>TZ3-1236</t>
  </si>
  <si>
    <t>54.086354</t>
  </si>
  <si>
    <t>124.770754</t>
  </si>
  <si>
    <t>TZ3-1238</t>
  </si>
  <si>
    <t>54.083257</t>
  </si>
  <si>
    <t>124.809991</t>
  </si>
  <si>
    <t>TZ3-123M</t>
  </si>
  <si>
    <t>54.091841</t>
  </si>
  <si>
    <t>124.757502</t>
  </si>
  <si>
    <t>TZ2-369</t>
  </si>
  <si>
    <t>54.077309</t>
  </si>
  <si>
    <t>124.679216</t>
  </si>
  <si>
    <t>re-used bait</t>
  </si>
  <si>
    <t>TZ2-384</t>
  </si>
  <si>
    <t>54.107425</t>
  </si>
  <si>
    <t>124.682267</t>
  </si>
  <si>
    <t>TZ2-390M</t>
  </si>
  <si>
    <t>54.073467</t>
  </si>
  <si>
    <t>124.708502</t>
  </si>
  <si>
    <t>TZ2-456</t>
  </si>
  <si>
    <t>54.102004</t>
  </si>
  <si>
    <t>124.673623</t>
  </si>
  <si>
    <t>TZ2-482</t>
  </si>
  <si>
    <t>54.077715</t>
  </si>
  <si>
    <t>124.692534</t>
  </si>
  <si>
    <t>TZ2-495</t>
  </si>
  <si>
    <t>54.079703</t>
  </si>
  <si>
    <t>124.688005</t>
  </si>
  <si>
    <t>TZ2-509</t>
  </si>
  <si>
    <t>54.103315</t>
  </si>
  <si>
    <t>124.708777</t>
  </si>
  <si>
    <t>TZ2-349</t>
  </si>
  <si>
    <t>54.071973</t>
  </si>
  <si>
    <t>124.737591</t>
  </si>
  <si>
    <t>PIT tag fell out during surgery</t>
  </si>
  <si>
    <t>TZ2-382</t>
  </si>
  <si>
    <t>54.073164</t>
  </si>
  <si>
    <t>124.741984</t>
  </si>
  <si>
    <t>TZ2-415M</t>
  </si>
  <si>
    <t>54.070251</t>
  </si>
  <si>
    <t>124.740968</t>
  </si>
  <si>
    <t>TZ2-421</t>
  </si>
  <si>
    <t>54.074516</t>
  </si>
  <si>
    <t>124.728521</t>
  </si>
  <si>
    <t>TZ2-470</t>
  </si>
  <si>
    <t>54.074331</t>
  </si>
  <si>
    <t>124.724835</t>
  </si>
  <si>
    <t>TZ2-473</t>
  </si>
  <si>
    <t>54.072814</t>
  </si>
  <si>
    <t>124.744024</t>
  </si>
  <si>
    <t>TZ2-489</t>
  </si>
  <si>
    <t>54.071198</t>
  </si>
  <si>
    <t>124.744434</t>
  </si>
  <si>
    <t>not recorded</t>
  </si>
  <si>
    <t>TZ2-4M</t>
  </si>
  <si>
    <t>54.073049</t>
  </si>
  <si>
    <t>124.710845</t>
  </si>
  <si>
    <t>TZ1-433</t>
  </si>
  <si>
    <t>54.064677</t>
  </si>
  <si>
    <t>124.637330</t>
  </si>
  <si>
    <t>TZ1-50</t>
  </si>
  <si>
    <t>54.067108</t>
  </si>
  <si>
    <t>124.644366</t>
  </si>
  <si>
    <t>TZ1-567</t>
  </si>
  <si>
    <t>54.064056</t>
  </si>
  <si>
    <t>124.639931</t>
  </si>
  <si>
    <t>TZ1-577</t>
  </si>
  <si>
    <t>54.094561</t>
  </si>
  <si>
    <t>124.641158</t>
  </si>
  <si>
    <t>TZ1-580</t>
  </si>
  <si>
    <t>54.065647</t>
  </si>
  <si>
    <t>124.640920</t>
  </si>
  <si>
    <t>TZ1-58M</t>
  </si>
  <si>
    <t>54.063483</t>
  </si>
  <si>
    <t>124.635988</t>
  </si>
  <si>
    <t>TZ1-600M</t>
  </si>
  <si>
    <t>54.064502</t>
  </si>
  <si>
    <t>124.619280</t>
  </si>
  <si>
    <t>TZ1-62</t>
  </si>
  <si>
    <t>54.090632</t>
  </si>
  <si>
    <t>124.628362</t>
  </si>
  <si>
    <t>TZ1-630</t>
  </si>
  <si>
    <t>54.101277</t>
  </si>
  <si>
    <t>124.656605</t>
  </si>
  <si>
    <t>TZ1-639</t>
  </si>
  <si>
    <t>54.092452</t>
  </si>
  <si>
    <t>124.636896</t>
  </si>
  <si>
    <t>TZ1-647</t>
  </si>
  <si>
    <t>54.100878</t>
  </si>
  <si>
    <t>124.658426</t>
  </si>
  <si>
    <t>TZ1-650M</t>
  </si>
  <si>
    <t>54.089083</t>
  </si>
  <si>
    <t>124.624058</t>
  </si>
  <si>
    <t>TZ1-655</t>
  </si>
  <si>
    <t>54.073894</t>
  </si>
  <si>
    <t>124.670277</t>
  </si>
  <si>
    <t>TZ1-659</t>
  </si>
  <si>
    <t>54.100713</t>
  </si>
  <si>
    <t>124.655399</t>
  </si>
  <si>
    <t>TZ1-663</t>
  </si>
  <si>
    <t>54.086569</t>
  </si>
  <si>
    <t>124.629043</t>
  </si>
  <si>
    <t>TZ1-665</t>
  </si>
  <si>
    <t>54.061797</t>
  </si>
  <si>
    <t>124.633608</t>
  </si>
  <si>
    <t>TZ4-193</t>
  </si>
  <si>
    <t>54.073718</t>
  </si>
  <si>
    <t>124.872864</t>
  </si>
  <si>
    <t>TZ4-208</t>
  </si>
  <si>
    <t>54.077008</t>
  </si>
  <si>
    <t>124.838354</t>
  </si>
  <si>
    <t>TZ4-222</t>
  </si>
  <si>
    <t>54.060945</t>
  </si>
  <si>
    <t>124.862087</t>
  </si>
  <si>
    <t>TZ4-230</t>
  </si>
  <si>
    <t>54.061587</t>
  </si>
  <si>
    <t>124.886522</t>
  </si>
  <si>
    <t>TZ4-233</t>
  </si>
  <si>
    <t>54.060655</t>
  </si>
  <si>
    <t>124.895948</t>
  </si>
  <si>
    <t>TZ4-234</t>
  </si>
  <si>
    <t>54.066085</t>
  </si>
  <si>
    <t>124.882110</t>
  </si>
  <si>
    <t>TZ4-237</t>
  </si>
  <si>
    <t>54.073240</t>
  </si>
  <si>
    <t>124.818011</t>
  </si>
  <si>
    <t>TZ4-239</t>
  </si>
  <si>
    <t>54.063104</t>
  </si>
  <si>
    <t>124.883123</t>
  </si>
  <si>
    <t>recovered from barotrauma after being held at ~3m depth for 2 hours</t>
  </si>
  <si>
    <t>TZ4-250</t>
  </si>
  <si>
    <t>54.075353</t>
  </si>
  <si>
    <t>124.834275</t>
  </si>
  <si>
    <t>TZ4-257</t>
  </si>
  <si>
    <t>54.081370</t>
  </si>
  <si>
    <t>124.831995</t>
  </si>
  <si>
    <t>TZ4-258</t>
  </si>
  <si>
    <t>54.076757</t>
  </si>
  <si>
    <t>124.830918</t>
  </si>
  <si>
    <t>moved 95m from waypoint</t>
  </si>
  <si>
    <t>TZ4-262</t>
  </si>
  <si>
    <t>54.058856</t>
  </si>
  <si>
    <t>124.893623</t>
  </si>
  <si>
    <t>TZ4-264</t>
  </si>
  <si>
    <t>54.079643</t>
  </si>
  <si>
    <t>124.839758</t>
  </si>
  <si>
    <t>TZ4-275</t>
  </si>
  <si>
    <t>54.062091</t>
  </si>
  <si>
    <t>124.890046</t>
  </si>
  <si>
    <t>TZ4-288M</t>
  </si>
  <si>
    <t>54.075230</t>
  </si>
  <si>
    <t>124.826218</t>
  </si>
  <si>
    <t>TZ4-290</t>
  </si>
  <si>
    <t>54.069749</t>
  </si>
  <si>
    <t>124.817608</t>
  </si>
  <si>
    <t>TZ2-518</t>
  </si>
  <si>
    <t>TZ2-527</t>
  </si>
  <si>
    <t>TZ2-53</t>
  </si>
  <si>
    <t>TZ2-533</t>
  </si>
  <si>
    <t>TZ2-539</t>
  </si>
  <si>
    <t>54.070720</t>
  </si>
  <si>
    <t>124.743102</t>
  </si>
  <si>
    <t>TZ2-542</t>
  </si>
  <si>
    <t>TZ2-55</t>
  </si>
  <si>
    <t>TZ2-550</t>
  </si>
  <si>
    <t>TZ2-574</t>
  </si>
  <si>
    <t>TZ2-585</t>
  </si>
  <si>
    <t>TZ2-589</t>
  </si>
  <si>
    <t>TZ2-597</t>
  </si>
  <si>
    <t>TZ2-6</t>
  </si>
  <si>
    <t>54.071068</t>
  </si>
  <si>
    <t>124.739728</t>
  </si>
  <si>
    <t>TZ2-603</t>
  </si>
  <si>
    <t>TZ2-604</t>
  </si>
  <si>
    <t>54.092219	124.727473</t>
  </si>
  <si>
    <t>TZ1-832</t>
  </si>
  <si>
    <t>Cluculz RB</t>
  </si>
  <si>
    <t>TZ1-835</t>
  </si>
  <si>
    <t>TZ1-849</t>
  </si>
  <si>
    <t>TZ1-85</t>
  </si>
  <si>
    <t>TZ1-880</t>
  </si>
  <si>
    <t>7366, 7367, 7477</t>
  </si>
  <si>
    <t>TZ1-881</t>
  </si>
  <si>
    <t>TZ1-883</t>
  </si>
  <si>
    <t>TZ1-908</t>
  </si>
  <si>
    <t>TZ1-931</t>
  </si>
  <si>
    <t>TZ1-934</t>
  </si>
  <si>
    <t>TZ1-94</t>
  </si>
  <si>
    <t>TZ1-942</t>
  </si>
  <si>
    <t>TZ1-95</t>
  </si>
  <si>
    <t>TZ1-969</t>
  </si>
  <si>
    <t>TZ1-977</t>
  </si>
  <si>
    <t>TZ1-978</t>
  </si>
  <si>
    <t>TZ1-324</t>
  </si>
  <si>
    <t>TZ1-364</t>
  </si>
  <si>
    <t>TZ1-365</t>
  </si>
  <si>
    <t>TZ1-376</t>
  </si>
  <si>
    <t>moved offshore</t>
  </si>
  <si>
    <t>TZ1-39</t>
  </si>
  <si>
    <t>TZ1-397</t>
  </si>
  <si>
    <t>TZ1-416</t>
  </si>
  <si>
    <t>TZ1-417</t>
  </si>
  <si>
    <t>TZ2-220</t>
  </si>
  <si>
    <t>54.101330</t>
  </si>
  <si>
    <t>124.721466</t>
  </si>
  <si>
    <t>Cluculz Lake</t>
  </si>
  <si>
    <t>CLU-Z1-287</t>
  </si>
  <si>
    <t>8.9 at surface</t>
  </si>
  <si>
    <t>CLU-Z1-104</t>
  </si>
  <si>
    <t>CLU-Z1-203</t>
  </si>
  <si>
    <t>CLU-Z1-41</t>
  </si>
  <si>
    <t>moved 40m inshore</t>
  </si>
  <si>
    <t>CLU-Z1-237</t>
  </si>
  <si>
    <t>CLU-Z1-67</t>
  </si>
  <si>
    <t>CLU-Z1-254</t>
  </si>
  <si>
    <t>moved 100m inshore</t>
  </si>
  <si>
    <t>CLU-Z1-142</t>
  </si>
  <si>
    <t>CLU-Z1-11</t>
  </si>
  <si>
    <t>CLU-Z1-119</t>
  </si>
  <si>
    <t>CLU-Z1-136</t>
  </si>
  <si>
    <t>7.5 at surface</t>
  </si>
  <si>
    <t>30m inshore</t>
  </si>
  <si>
    <t>CLU-Z1-190</t>
  </si>
  <si>
    <t>40m inshore</t>
  </si>
  <si>
    <t>CLU-Z1-53</t>
  </si>
  <si>
    <t>100m inshore</t>
  </si>
  <si>
    <t>CLU-Z1-82</t>
  </si>
  <si>
    <t>110m inshore</t>
  </si>
  <si>
    <t>CLU-Z1-162</t>
  </si>
  <si>
    <t>CLU-Z1-362</t>
  </si>
  <si>
    <t>75m inshore</t>
  </si>
  <si>
    <t>CLU-Z2-2609</t>
  </si>
  <si>
    <t>11.2 at surface</t>
  </si>
  <si>
    <t>store-bought RB</t>
  </si>
  <si>
    <t>CLU-Z2-3592</t>
  </si>
  <si>
    <t>CLU-Z2-518</t>
  </si>
  <si>
    <t>CLU-Z2-1397</t>
  </si>
  <si>
    <t>CLU-Z2-1163</t>
  </si>
  <si>
    <t>CLU-Z2-1618</t>
  </si>
  <si>
    <t>CLU-Z2-437</t>
  </si>
  <si>
    <t>CLU-Z2-1191</t>
  </si>
  <si>
    <t>CLU-Z2-1565</t>
  </si>
  <si>
    <t>CLU-Z2-608</t>
  </si>
  <si>
    <t>CLU-Z2-2581</t>
  </si>
  <si>
    <t>CLU-Z2-2759</t>
  </si>
  <si>
    <t>CLU-Z2-2622</t>
  </si>
  <si>
    <t>CLU-Z2-992</t>
  </si>
  <si>
    <t>CLU-Z2-763</t>
  </si>
  <si>
    <t>CLU-Z2-2314</t>
  </si>
  <si>
    <t>CLU-Z3-152</t>
  </si>
  <si>
    <t>10.5 at surface</t>
  </si>
  <si>
    <t>CLU-Z3-166</t>
  </si>
  <si>
    <t>released, high reward tag</t>
  </si>
  <si>
    <t>CLU-Z3-125</t>
  </si>
  <si>
    <t>CLU-Z3-230</t>
  </si>
  <si>
    <t>CLU-Z3-11</t>
  </si>
  <si>
    <t>CLU-Z3-384</t>
  </si>
  <si>
    <t>NSC</t>
  </si>
  <si>
    <t>CLU-Z3-227</t>
  </si>
  <si>
    <t>CLU-Z3-17</t>
  </si>
  <si>
    <t>CLU-Z3-117</t>
  </si>
  <si>
    <t>CLU-Z3-32</t>
  </si>
  <si>
    <t>CLU-Z3-271</t>
  </si>
  <si>
    <t>CLU-Z3-130</t>
  </si>
  <si>
    <t>CLU-Z3-175</t>
  </si>
  <si>
    <t>CLU-Z3-111</t>
  </si>
  <si>
    <t>CLU-Z3-116</t>
  </si>
  <si>
    <t>CLU-Z3-106</t>
  </si>
  <si>
    <t>CLU-Z3-113</t>
  </si>
  <si>
    <t>11.8 at surface</t>
  </si>
  <si>
    <t>Abandoned efforts for low catches</t>
  </si>
  <si>
    <t>Carp Lake</t>
  </si>
  <si>
    <t>CARP-489</t>
  </si>
  <si>
    <t>Carp RB</t>
  </si>
  <si>
    <t>CARP-855</t>
  </si>
  <si>
    <t>7194, 7055</t>
  </si>
  <si>
    <t>7055 length, weight: 70.5, 2550</t>
  </si>
  <si>
    <t>CARP-695</t>
  </si>
  <si>
    <t>CARP-834</t>
  </si>
  <si>
    <t>CARP-409</t>
  </si>
  <si>
    <t>CARP-923</t>
  </si>
  <si>
    <t>CARP-315</t>
  </si>
  <si>
    <t>CARP-387</t>
  </si>
  <si>
    <t>CARP-308</t>
  </si>
  <si>
    <t>CARP-997</t>
  </si>
  <si>
    <t>CARP-299</t>
  </si>
  <si>
    <t>CARP-77</t>
  </si>
  <si>
    <t>CARP-475</t>
  </si>
  <si>
    <t>Tiny BB - no Floy tag</t>
  </si>
  <si>
    <t>CARP-784</t>
  </si>
  <si>
    <t>CARP-963</t>
  </si>
  <si>
    <t>also caught 6 NSC in trap, released immediately</t>
  </si>
  <si>
    <t>CARP-830</t>
  </si>
  <si>
    <t>CARP-82</t>
  </si>
  <si>
    <t>CARP-416</t>
  </si>
  <si>
    <t>Burbot escaped through side door; not tagged</t>
  </si>
  <si>
    <t>CARP-192</t>
  </si>
  <si>
    <t>CARP-445</t>
  </si>
  <si>
    <t>CARP-141</t>
  </si>
  <si>
    <t>7200, 7038</t>
  </si>
  <si>
    <t>7038 length, weight: 77, 3050</t>
  </si>
  <si>
    <t>CARP-883</t>
  </si>
  <si>
    <t>old + new bait</t>
  </si>
  <si>
    <t>CARP-327</t>
  </si>
  <si>
    <t>CARP-12</t>
  </si>
  <si>
    <t>7201, 7040</t>
  </si>
  <si>
    <t>7040 length, weight: 71, 2600</t>
  </si>
  <si>
    <t>CARP-804</t>
  </si>
  <si>
    <t>CARP-564</t>
  </si>
  <si>
    <t>CARP-151</t>
  </si>
  <si>
    <t>CARP-680</t>
  </si>
  <si>
    <t>CARP-62</t>
  </si>
  <si>
    <t>CARP-506</t>
  </si>
  <si>
    <t>7203, 7042</t>
  </si>
  <si>
    <t>7042 length, weight: 73.5, 2500</t>
  </si>
  <si>
    <t>CARP-344</t>
  </si>
  <si>
    <t>7205, 7043</t>
  </si>
  <si>
    <t>7043 length, weight: 66, 2250</t>
  </si>
  <si>
    <t>CARP-95</t>
  </si>
  <si>
    <t>CARP-324</t>
  </si>
  <si>
    <t>CARP-379</t>
  </si>
  <si>
    <t>CARP-22</t>
  </si>
  <si>
    <t>CARP-371</t>
  </si>
  <si>
    <t>CARP-165</t>
  </si>
  <si>
    <t>CARP-423</t>
  </si>
  <si>
    <t>&gt;5000</t>
  </si>
  <si>
    <t>CARP-425</t>
  </si>
  <si>
    <t>CARP-671</t>
  </si>
  <si>
    <t>7046, 7463</t>
  </si>
  <si>
    <t>7463 length, weight: 57, 1100</t>
  </si>
  <si>
    <t>CARP-541</t>
  </si>
  <si>
    <t>CARP-826</t>
  </si>
  <si>
    <t>CARP-647</t>
  </si>
  <si>
    <t>CARP-907</t>
  </si>
  <si>
    <t>CARP-754</t>
  </si>
  <si>
    <t>CARP-748</t>
  </si>
  <si>
    <t>CARP-228</t>
  </si>
  <si>
    <t>CARP-795</t>
  </si>
  <si>
    <t>CARP-305</t>
  </si>
  <si>
    <t>CARP-241</t>
  </si>
  <si>
    <t>CARP-994</t>
  </si>
  <si>
    <t>CARP-132</t>
  </si>
  <si>
    <t>CARP-249</t>
  </si>
  <si>
    <t>CARP-166</t>
  </si>
  <si>
    <t>CARP-525</t>
  </si>
  <si>
    <t>CARP-328</t>
  </si>
  <si>
    <t>CARP-339</t>
  </si>
  <si>
    <t>CARP-774</t>
  </si>
  <si>
    <t>CARP-840</t>
  </si>
  <si>
    <t>LSU</t>
  </si>
  <si>
    <t>longnose sucker - released immediately</t>
  </si>
  <si>
    <t>CARP-396</t>
  </si>
  <si>
    <t>CARP-591</t>
  </si>
  <si>
    <t>CARP-568</t>
  </si>
  <si>
    <t>CARP-375</t>
  </si>
  <si>
    <t>CARP-71</t>
  </si>
  <si>
    <t>CARP-724</t>
  </si>
  <si>
    <t>CARP-88</t>
  </si>
  <si>
    <t>CARP-929</t>
  </si>
  <si>
    <t>CARP-37</t>
  </si>
  <si>
    <t>CARP-532</t>
  </si>
  <si>
    <t>CARP-934</t>
  </si>
  <si>
    <t>CARP-688</t>
  </si>
  <si>
    <t>CARP-832</t>
  </si>
  <si>
    <t>CARP-209</t>
  </si>
  <si>
    <t>CARP-891</t>
  </si>
  <si>
    <t>7051, 7468</t>
  </si>
  <si>
    <t>7468 length, weight: 62.5, 1450</t>
  </si>
  <si>
    <t>CARP-449</t>
  </si>
  <si>
    <t>CARP-99</t>
  </si>
  <si>
    <t>CARP-348</t>
  </si>
  <si>
    <t>CARP-860</t>
  </si>
  <si>
    <t>CARP-982</t>
  </si>
  <si>
    <t>CARP2-539</t>
  </si>
  <si>
    <t>CARP2-184</t>
  </si>
  <si>
    <t>CARP2-397</t>
  </si>
  <si>
    <t>7372, 7482</t>
  </si>
  <si>
    <t>7482 length, weight: 59, 1150</t>
  </si>
  <si>
    <t>CARP2-594</t>
  </si>
  <si>
    <t>CARP2-393</t>
  </si>
  <si>
    <t>CARP2-122</t>
  </si>
  <si>
    <t>CARP2-271</t>
  </si>
  <si>
    <t>CARP2-327</t>
  </si>
  <si>
    <t>CARP2-51</t>
  </si>
  <si>
    <t>CARP2-543</t>
  </si>
  <si>
    <t>CARP2-74</t>
  </si>
  <si>
    <t>CARP2-353</t>
  </si>
  <si>
    <t>CARP2-308</t>
  </si>
  <si>
    <t>CARP2-592</t>
  </si>
  <si>
    <t>CARP2-221</t>
  </si>
  <si>
    <t>CARP2-545</t>
  </si>
  <si>
    <t>CARP2-40</t>
  </si>
  <si>
    <t>CARP2-351</t>
  </si>
  <si>
    <t>7485, 7376</t>
  </si>
  <si>
    <t>7376 length, weight: 63.5, 1750</t>
  </si>
  <si>
    <t>CARP2-190</t>
  </si>
  <si>
    <t>CARP2-368</t>
  </si>
  <si>
    <t>CARP2-70</t>
  </si>
  <si>
    <t>CARP2-436</t>
  </si>
  <si>
    <t>Burbot escaped through side door</t>
  </si>
  <si>
    <t>CARP2-307</t>
  </si>
  <si>
    <t>CARP2-532</t>
  </si>
  <si>
    <t>CARP2-1</t>
  </si>
  <si>
    <t>CARP2-495</t>
  </si>
  <si>
    <t>7562, 7378</t>
  </si>
  <si>
    <t>7378 length, weight: 50, 850</t>
  </si>
  <si>
    <t>CARP2-490</t>
  </si>
  <si>
    <t>7564, 7379, 7565</t>
  </si>
  <si>
    <t>7379 length, weight: 59, 1350. 7565 length, weight: 52, 700</t>
  </si>
  <si>
    <t>CARP2-449</t>
  </si>
  <si>
    <t>7566, 7380</t>
  </si>
  <si>
    <t>7380 length, weight: 81.5, 4350</t>
  </si>
  <si>
    <t>CARP2-222</t>
  </si>
  <si>
    <t>8.3 at surface</t>
  </si>
  <si>
    <t>CARP2-536</t>
  </si>
  <si>
    <t>CARP2-5</t>
  </si>
  <si>
    <t>CARP2-69</t>
  </si>
  <si>
    <t>CARP2-133</t>
  </si>
  <si>
    <t>7.8 at surface</t>
  </si>
  <si>
    <t>CARP2-86</t>
  </si>
  <si>
    <t>9.0 at surface</t>
  </si>
  <si>
    <t>7382, 7568, 7569</t>
  </si>
  <si>
    <t>7568 length, weight: 68.5, 1850. 7569 length, weight: 61.5, 1450</t>
  </si>
  <si>
    <t>CARP2-364</t>
  </si>
  <si>
    <t>CARP2-121</t>
  </si>
  <si>
    <t>CARP2-109</t>
  </si>
  <si>
    <t>CARP2-634</t>
  </si>
  <si>
    <t>CARP2-563</t>
  </si>
  <si>
    <t>CARP2-72</t>
  </si>
  <si>
    <t>CARP2-548</t>
  </si>
  <si>
    <t>7384, 7570 RECAP</t>
  </si>
  <si>
    <t>CARP2-369</t>
  </si>
  <si>
    <t>CARP2-295</t>
  </si>
  <si>
    <t>CARP2-145</t>
  </si>
  <si>
    <t>7385, 7571</t>
  </si>
  <si>
    <t>7571 length, weight: 67.5, 1700</t>
  </si>
  <si>
    <t>CARP2-361</t>
  </si>
  <si>
    <t>CARP2-448</t>
  </si>
  <si>
    <t>7575, 7386</t>
  </si>
  <si>
    <t>7386 length, weight: 63.5, 1800</t>
  </si>
  <si>
    <t>CARP2-201</t>
  </si>
  <si>
    <t>7576, 7387</t>
  </si>
  <si>
    <t>7387 length, weight: 64, 1350</t>
  </si>
  <si>
    <t>CARP2-515</t>
  </si>
  <si>
    <t>CARP2-438</t>
  </si>
  <si>
    <t>CARP2-273</t>
  </si>
  <si>
    <t>CARP2-453</t>
  </si>
  <si>
    <t>CARP2-311</t>
  </si>
  <si>
    <t>CARP2-348</t>
  </si>
  <si>
    <t>CARP2-27</t>
  </si>
  <si>
    <t>CARP2-370</t>
  </si>
  <si>
    <t>CARP2-389</t>
  </si>
  <si>
    <t>CARP2-247</t>
  </si>
  <si>
    <t>7580, 7391</t>
  </si>
  <si>
    <t>7391 length, weight: 57.5, 1400</t>
  </si>
  <si>
    <t>CARP2-53</t>
  </si>
  <si>
    <t>CARP2-458</t>
  </si>
  <si>
    <t>7581, 7582, 7392</t>
  </si>
  <si>
    <t>7582 length, weight: 74, 2400. 7392 length, weight: 66, NA</t>
  </si>
  <si>
    <t>CARP2-464</t>
  </si>
  <si>
    <t>CARP2-613</t>
  </si>
  <si>
    <t>CARP2-343</t>
  </si>
  <si>
    <t>CARP2-82</t>
  </si>
  <si>
    <t>CARP2-41</t>
  </si>
  <si>
    <t>7394, 7585</t>
  </si>
  <si>
    <t>7585 length, weight: 59, 1300</t>
  </si>
  <si>
    <t>CARP2-551</t>
  </si>
  <si>
    <t>CARP2-444</t>
  </si>
  <si>
    <t>CARP2-484</t>
  </si>
  <si>
    <t>CARP2-528</t>
  </si>
  <si>
    <t>CARP2-188</t>
  </si>
  <si>
    <t>CARP2-479</t>
  </si>
  <si>
    <t>CARP2-466</t>
  </si>
  <si>
    <t>CARP2-384</t>
  </si>
  <si>
    <t>CARP2-67</t>
  </si>
  <si>
    <t>CARP2-33</t>
  </si>
  <si>
    <t>CARP2-151</t>
  </si>
  <si>
    <t>CARP2-420</t>
  </si>
  <si>
    <t>CARP2-25</t>
  </si>
  <si>
    <t>CARP2-318</t>
  </si>
  <si>
    <t>CARP2-196</t>
  </si>
  <si>
    <t>CARP2-58</t>
  </si>
  <si>
    <t>CARP3-Z2-420</t>
  </si>
  <si>
    <t>CARP3-Z2-195</t>
  </si>
  <si>
    <t>CARP3-Z2-69</t>
  </si>
  <si>
    <t>CARP3-Z2-285</t>
  </si>
  <si>
    <t>CARP3-Z2-392</t>
  </si>
  <si>
    <t>CARP3-Z2-159</t>
  </si>
  <si>
    <t>CARP3-Z2-405</t>
  </si>
  <si>
    <t>CARP3-Z2-83</t>
  </si>
  <si>
    <t>CARP3-Z2-120</t>
  </si>
  <si>
    <t>CARP3-Z2-167</t>
  </si>
  <si>
    <t>CARP3-Z2-6</t>
  </si>
  <si>
    <t>CARP3-Z2-353</t>
  </si>
  <si>
    <t>CARP3-Z2-290</t>
  </si>
  <si>
    <t>CARP3-Z2-303</t>
  </si>
  <si>
    <t>CARP3-Z2-299</t>
  </si>
  <si>
    <t>CARP3-Z2-45</t>
  </si>
  <si>
    <t>CARP3-Z2-393</t>
  </si>
  <si>
    <t>CARP3-Z2-207</t>
  </si>
  <si>
    <t>too small for tagging</t>
  </si>
  <si>
    <t>CARP3-Z2-263</t>
  </si>
  <si>
    <t>CARP3-Z2-90</t>
  </si>
  <si>
    <t>CARP3-Z3-149</t>
  </si>
  <si>
    <t>CARP3-Z3-61</t>
  </si>
  <si>
    <t>7403, 7593</t>
  </si>
  <si>
    <t>89.8, 60.2</t>
  </si>
  <si>
    <t>5300, 1200</t>
  </si>
  <si>
    <t>CARP3-Z3-256</t>
  </si>
  <si>
    <t>LKC</t>
  </si>
  <si>
    <t>CARP3-Z3-391</t>
  </si>
  <si>
    <t>CARP3-Z3-71</t>
  </si>
  <si>
    <t>CARP3-Z3-122</t>
  </si>
  <si>
    <t>CARP3-Z3-97</t>
  </si>
  <si>
    <t>CARP3-Z3-428</t>
  </si>
  <si>
    <t>CARP3-Z3-10</t>
  </si>
  <si>
    <t>CARP3-Z3-169</t>
  </si>
  <si>
    <t>CARP3-Z3-51</t>
  </si>
  <si>
    <t>CARP3-Z3-371</t>
  </si>
  <si>
    <t>CARP3-Z3-220</t>
  </si>
  <si>
    <t>CARP3-Z3-388</t>
  </si>
  <si>
    <t>CARP3-Z3-50</t>
  </si>
  <si>
    <t>CARP3-Z3-352</t>
  </si>
  <si>
    <t>CARP3-Z3-62</t>
  </si>
  <si>
    <t>CARP3-Z3-34</t>
  </si>
  <si>
    <t>CARP3-Z3-9</t>
  </si>
  <si>
    <t>CARP3-Z3-182</t>
  </si>
  <si>
    <t>CARP3-Z4-112</t>
  </si>
  <si>
    <t>CARP3-Z4-410</t>
  </si>
  <si>
    <t>CARP3-Z4-284</t>
  </si>
  <si>
    <t>CARP3-Z4-63</t>
  </si>
  <si>
    <t>CARP3-Z4-40</t>
  </si>
  <si>
    <t>CARP3-Z4-326</t>
  </si>
  <si>
    <t>CARP3-Z4-42</t>
  </si>
  <si>
    <t>CARP3-Z4-319</t>
  </si>
  <si>
    <t>CARP3-Z4-208</t>
  </si>
  <si>
    <t>CARP3-Z4-233</t>
  </si>
  <si>
    <t>CARP3-Z4-266</t>
  </si>
  <si>
    <t>CARP3-Z4-128</t>
  </si>
  <si>
    <t>7405, 7597</t>
  </si>
  <si>
    <t>70.2, 54.2</t>
  </si>
  <si>
    <t>2200, 1100</t>
  </si>
  <si>
    <t>CARP3-Z4-153</t>
  </si>
  <si>
    <t>RB</t>
  </si>
  <si>
    <t>CARP3-Z4-135</t>
  </si>
  <si>
    <t>CARP3-Z4-143</t>
  </si>
  <si>
    <t>CARP3-Z4-127</t>
  </si>
  <si>
    <t>CARP3-Z4-368</t>
  </si>
  <si>
    <t>CARP3-Z4-21</t>
  </si>
  <si>
    <t>CARPS-Z4-228</t>
  </si>
  <si>
    <t>CARP3-Z4-194</t>
  </si>
  <si>
    <t>CARP3-Z1-268</t>
  </si>
  <si>
    <t>store-bought whitefish</t>
  </si>
  <si>
    <t>CARP3-Z1-104</t>
  </si>
  <si>
    <t>CARP3-Z1-344</t>
  </si>
  <si>
    <t>CARP3-Z1-286</t>
  </si>
  <si>
    <t>7408, 7409, 7600</t>
  </si>
  <si>
    <t>60.8, 52.2, 62.9</t>
  </si>
  <si>
    <t>1650, 950, 1300</t>
  </si>
  <si>
    <t>CARP3-Z1-283</t>
  </si>
  <si>
    <t>CARP3-Z1-364</t>
  </si>
  <si>
    <t>CARP3-Z1-341</t>
  </si>
  <si>
    <t>CARP3-Z1-404</t>
  </si>
  <si>
    <t>CARP3-Z1-241</t>
  </si>
  <si>
    <t>CARP3-Z1-417</t>
  </si>
  <si>
    <t>CARP3-Z1-145</t>
  </si>
  <si>
    <t>CARP3-Z1-366</t>
  </si>
  <si>
    <t>CARP3-Z1-41</t>
  </si>
  <si>
    <t>CARP3-Z1-372</t>
  </si>
  <si>
    <t>CARP3-Z1-246</t>
  </si>
  <si>
    <t>CARP3-Z1-11</t>
  </si>
  <si>
    <t>CARP3-Z1-330</t>
  </si>
  <si>
    <t>CARP3-Z1-2</t>
  </si>
  <si>
    <t>CARP3-Z1-293</t>
  </si>
  <si>
    <t>CARP3-Z1-348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</si>
</sst>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12"/>
      <color rgb="FF000000"/>
      <name val="Calibri"/>
      <family val="2"/>
      <scheme val="minor"/>
    </font>
    <font>
      <sz val="12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D9D9D9"/>
        <bgColor rgb="FFD9D9D9"/>
      </patternFill>
    </fill>
    <fill>
      <patternFill patternType="solid">
        <fgColor rgb="FFDBDBDB"/>
        <bgColor indexed="64"/>
      </patternFill>
    </fill>
    <fill>
      <patternFill patternType="solid">
        <fgColor theme="6" tint="0.59999389629810485"/>
        <bgColor theme="6" tint="0.59999389629810485"/>
      </patternFill>
    </fill>
  </fills>
  <borders count="2">
    <border>
      <left/>
      <right/>
      <top/>
      <bottom/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</borders>
  <cellStyleXfs count="1">
    <xf numFmtId="0" fontId="0" fillId="0" borderId="0"/>
  </cellStyleXfs>
  <cellXfs count="12">
    <xf numFmtId="0" fontId="0" fillId="0" borderId="0" xfId="0"/>
    <xf numFmtId="14" fontId="0" fillId="0" borderId="0" xfId="0" applyNumberFormat="1"/>
    <xf numFmtId="20" fontId="0" fillId="0" borderId="0" xfId="0" applyNumberFormat="1"/>
    <xf numFmtId="49" fontId="0" fillId="0" borderId="0" xfId="0" applyNumberFormat="1"/>
    <xf numFmtId="0" fontId="1" fillId="2" borderId="0" xfId="0" applyFont="1" applyFill="1"/>
    <xf numFmtId="0" fontId="1" fillId="0" borderId="0" xfId="0" applyFont="1"/>
    <xf numFmtId="49" fontId="1" fillId="0" borderId="0" xfId="0" applyNumberFormat="1" applyFont="1"/>
    <xf numFmtId="0" fontId="2" fillId="0" borderId="0" xfId="0" applyFont="1"/>
    <xf numFmtId="0" fontId="0" fillId="4" borderId="0" xfId="0" applyFill="1"/>
    <xf numFmtId="0" fontId="0" fillId="0" borderId="1" xfId="0" applyBorder="1"/>
    <xf numFmtId="0" fontId="0" fillId="0" borderId="0" xfId="0" applyBorder="1"/>
    <xf numFmtId="0" fontId="0" fillId="3" borderId="0" xfId="0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5EB93C09-FF94-D24D-88D1-2E25B75430B5}" name="Table1" displayName="Table1" ref="A1:S452" totalsRowShown="0">
  <autoFilter ref="A1:S452" xr:uid="{5EB93C09-FF94-D24D-88D1-2E25B75430B5}"/>
  <sortState xmlns:xlrd2="http://schemas.microsoft.com/office/spreadsheetml/2017/richdata2" ref="A2:S452">
    <sortCondition ref="N1:N452"/>
  </sortState>
  <tableColumns count="19">
    <tableColumn id="17" xr3:uid="{469DAD3D-2D61-4A46-94A2-E6E08F25AA1C}" name="Lake name"/>
    <tableColumn id="1" xr3:uid="{A786C78A-B155-DF45-9EE4-C7373D29BCB8}" name="Trap waypoint"/>
    <tableColumn id="2" xr3:uid="{A6BA3434-1811-F34B-B59D-DA04F485F63D}" name="Start date"/>
    <tableColumn id="3" xr3:uid="{58CFADB1-DB53-4042-B79C-E0D94485930E}" name="Start time"/>
    <tableColumn id="4" xr3:uid="{6FCEF1A7-0635-9147-8795-571286A84DE2}" name="End date"/>
    <tableColumn id="5" xr3:uid="{55455338-449D-BD4A-9F89-29391E468459}" name="End time"/>
    <tableColumn id="6" xr3:uid="{F874BC77-2C89-7143-8879-9C15CE90049C}" name="Lat"/>
    <tableColumn id="7" xr3:uid="{4AF67E2A-59A1-1843-9E13-95BD86A7A077}" name="Lon"/>
    <tableColumn id="8" xr3:uid="{343FEFF4-6B27-5E45-9FE2-54F97124471F}" name="Method"/>
    <tableColumn id="9" xr3:uid="{D36E1766-6175-164E-9AE2-0B854642EE03}" name="Depth (m)"/>
    <tableColumn id="10" xr3:uid="{FBB36A5F-3832-F845-9618-A9B3971BEB20}" name="Temperature (degrees C)"/>
    <tableColumn id="11" xr3:uid="{D8513929-C9B0-5643-B4AD-25F30732523E}" name="Species"/>
    <tableColumn id="12" xr3:uid="{42F81A84-E821-4A49-9396-AE403907EF1C}" name="Count fish"/>
    <tableColumn id="13" xr3:uid="{48BDD53C-49B0-804C-A942-8763C0CBFE42}" name="Burbot Floy number"/>
    <tableColumn id="21" xr3:uid="{723A2AC5-C36B-CE40-B482-18E6077D60E5}" name="Burbot length (cm)"/>
    <tableColumn id="20" xr3:uid="{AD40DC1E-C7E5-6547-8223-EB6118A17756}" name="Burbot weight (g)"/>
    <tableColumn id="14" xr3:uid="{E03BCABD-D584-914A-BEBA-DAF4CC54D697}" name="Bait type"/>
    <tableColumn id="15" xr3:uid="{B2141C61-64DF-C54A-8FE3-50712F774A0F}" name="Bait weight (g)"/>
    <tableColumn id="16" xr3:uid="{EF49D2EC-5889-424A-98CD-4817B3B6917A}" name="Comments"/>
  </tableColumns>
  <tableStyleInfo name="TableStyleLight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F8C754-7AF9-C446-9F9F-0E623888EDB0}">
  <dimension ref="A1:S452"/>
  <sheetViews>
    <sheetView tabSelected="1" topLeftCell="B80" workbookViewId="0">
      <selection activeCell="F82" sqref="F82"/>
    </sheetView>
  </sheetViews>
  <sheetFormatPr baseColWidth="10" defaultColWidth="11" defaultRowHeight="16" x14ac:dyDescent="0.2"/>
  <cols>
    <col min="1" max="1" width="15.1640625" customWidth="1"/>
    <col min="2" max="2" width="11.6640625" customWidth="1"/>
    <col min="3" max="3" width="11.83203125" customWidth="1"/>
    <col min="9" max="9" width="11.83203125" customWidth="1"/>
    <col min="10" max="10" width="14.83203125" customWidth="1"/>
    <col min="12" max="12" width="11.6640625" customWidth="1"/>
    <col min="13" max="13" width="19.6640625" customWidth="1"/>
    <col min="17" max="17" width="15.83203125" customWidth="1"/>
    <col min="18" max="18" width="12.33203125" customWidth="1"/>
  </cols>
  <sheetData>
    <row r="1" spans="1:19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</row>
    <row r="2" spans="1:19" x14ac:dyDescent="0.2">
      <c r="A2" t="s">
        <v>19</v>
      </c>
      <c r="B2" t="s">
        <v>56</v>
      </c>
      <c r="C2" s="1">
        <v>44693</v>
      </c>
      <c r="D2" s="2">
        <v>0.66666666666666663</v>
      </c>
      <c r="E2" s="1">
        <v>44695</v>
      </c>
      <c r="F2" s="2">
        <v>0.58402777777777781</v>
      </c>
      <c r="G2" s="3" t="s">
        <v>57</v>
      </c>
      <c r="H2" s="3" t="s">
        <v>58</v>
      </c>
      <c r="I2" t="s">
        <v>23</v>
      </c>
      <c r="J2">
        <v>9.6</v>
      </c>
      <c r="L2" t="s">
        <v>32</v>
      </c>
      <c r="M2">
        <v>1</v>
      </c>
      <c r="N2">
        <v>7001</v>
      </c>
      <c r="O2">
        <v>62.5</v>
      </c>
      <c r="P2">
        <v>1150</v>
      </c>
      <c r="Q2" t="s">
        <v>25</v>
      </c>
      <c r="R2">
        <v>150</v>
      </c>
    </row>
    <row r="3" spans="1:19" x14ac:dyDescent="0.2">
      <c r="A3" t="s">
        <v>19</v>
      </c>
      <c r="B3" t="s">
        <v>33</v>
      </c>
      <c r="C3" s="1">
        <v>44692</v>
      </c>
      <c r="D3" s="2">
        <v>0.70972222222222225</v>
      </c>
      <c r="E3" s="1">
        <v>44693</v>
      </c>
      <c r="F3" s="2">
        <v>0.4861111111111111</v>
      </c>
      <c r="G3" s="3" t="s">
        <v>34</v>
      </c>
      <c r="H3" s="3" t="s">
        <v>35</v>
      </c>
      <c r="I3" t="s">
        <v>23</v>
      </c>
      <c r="J3">
        <v>3</v>
      </c>
      <c r="L3" t="s">
        <v>32</v>
      </c>
      <c r="M3">
        <v>1</v>
      </c>
      <c r="N3">
        <v>7033</v>
      </c>
      <c r="O3">
        <v>62</v>
      </c>
      <c r="P3">
        <v>1150</v>
      </c>
      <c r="Q3" t="s">
        <v>25</v>
      </c>
      <c r="R3">
        <v>150</v>
      </c>
    </row>
    <row r="4" spans="1:19" x14ac:dyDescent="0.2">
      <c r="A4" t="s">
        <v>453</v>
      </c>
      <c r="B4" t="s">
        <v>460</v>
      </c>
      <c r="C4" s="1">
        <v>44711</v>
      </c>
      <c r="D4" s="2">
        <v>0.6645833333333333</v>
      </c>
      <c r="E4" s="1">
        <v>44712</v>
      </c>
      <c r="F4" s="2">
        <v>0.41736111111111113</v>
      </c>
      <c r="G4">
        <v>54.773494999999997</v>
      </c>
      <c r="H4">
        <v>123.40013500000001</v>
      </c>
      <c r="I4" t="s">
        <v>23</v>
      </c>
      <c r="J4">
        <v>10.4</v>
      </c>
      <c r="L4" t="s">
        <v>32</v>
      </c>
      <c r="M4">
        <v>1</v>
      </c>
      <c r="N4">
        <v>7034</v>
      </c>
      <c r="O4">
        <v>72.5</v>
      </c>
      <c r="P4">
        <v>2850</v>
      </c>
      <c r="Q4" t="s">
        <v>455</v>
      </c>
      <c r="R4">
        <v>110</v>
      </c>
    </row>
    <row r="5" spans="1:19" x14ac:dyDescent="0.2">
      <c r="A5" t="s">
        <v>453</v>
      </c>
      <c r="B5" t="s">
        <v>471</v>
      </c>
      <c r="C5" s="1">
        <v>44711</v>
      </c>
      <c r="D5" s="2">
        <v>0.72499999999999998</v>
      </c>
      <c r="E5" s="1">
        <v>44712</v>
      </c>
      <c r="F5" s="2">
        <v>0.46875</v>
      </c>
      <c r="G5">
        <v>54.757860000000001</v>
      </c>
      <c r="H5">
        <v>123.401916</v>
      </c>
      <c r="I5" t="s">
        <v>23</v>
      </c>
      <c r="J5">
        <v>6.1</v>
      </c>
      <c r="L5" t="s">
        <v>32</v>
      </c>
      <c r="M5">
        <v>1</v>
      </c>
      <c r="N5">
        <v>7036</v>
      </c>
      <c r="O5">
        <v>74</v>
      </c>
      <c r="P5">
        <f>4100-650</f>
        <v>3450</v>
      </c>
      <c r="Q5" t="s">
        <v>455</v>
      </c>
      <c r="R5">
        <v>100</v>
      </c>
    </row>
    <row r="6" spans="1:19" x14ac:dyDescent="0.2">
      <c r="A6" t="s">
        <v>453</v>
      </c>
      <c r="B6" t="s">
        <v>478</v>
      </c>
      <c r="C6" s="1">
        <v>44711</v>
      </c>
      <c r="D6" s="2">
        <v>0.75</v>
      </c>
      <c r="E6" s="1">
        <v>44712</v>
      </c>
      <c r="F6" s="2">
        <v>0.5083333333333333</v>
      </c>
      <c r="G6">
        <v>54.761364999999998</v>
      </c>
      <c r="H6">
        <v>123.37706900000001</v>
      </c>
      <c r="I6" t="s">
        <v>23</v>
      </c>
      <c r="J6">
        <v>7.5</v>
      </c>
      <c r="L6" t="s">
        <v>32</v>
      </c>
      <c r="M6">
        <v>1</v>
      </c>
      <c r="N6">
        <v>7037</v>
      </c>
      <c r="O6">
        <v>85</v>
      </c>
      <c r="P6">
        <f>4500-650</f>
        <v>3850</v>
      </c>
      <c r="Q6" t="s">
        <v>455</v>
      </c>
      <c r="R6">
        <v>190</v>
      </c>
    </row>
    <row r="7" spans="1:19" x14ac:dyDescent="0.2">
      <c r="A7" t="s">
        <v>453</v>
      </c>
      <c r="B7" t="s">
        <v>492</v>
      </c>
      <c r="C7" s="1">
        <v>44712</v>
      </c>
      <c r="D7" s="2">
        <v>0.59236111111111112</v>
      </c>
      <c r="E7" s="1">
        <v>44713</v>
      </c>
      <c r="F7" s="2">
        <v>0.41666666666666669</v>
      </c>
      <c r="G7">
        <v>54.740059000000002</v>
      </c>
      <c r="H7">
        <v>123.35086</v>
      </c>
      <c r="I7" t="s">
        <v>23</v>
      </c>
      <c r="J7">
        <v>4.7</v>
      </c>
      <c r="L7" t="s">
        <v>32</v>
      </c>
      <c r="M7">
        <v>1</v>
      </c>
      <c r="N7">
        <v>7041</v>
      </c>
      <c r="O7">
        <v>59</v>
      </c>
      <c r="P7">
        <f>2000-650</f>
        <v>1350</v>
      </c>
      <c r="Q7" t="s">
        <v>455</v>
      </c>
      <c r="R7">
        <v>200</v>
      </c>
      <c r="S7" t="s">
        <v>484</v>
      </c>
    </row>
    <row r="8" spans="1:19" x14ac:dyDescent="0.2">
      <c r="A8" t="s">
        <v>453</v>
      </c>
      <c r="B8" t="s">
        <v>502</v>
      </c>
      <c r="C8" s="1">
        <v>44712</v>
      </c>
      <c r="D8" s="2">
        <v>0.62152777777777779</v>
      </c>
      <c r="E8" s="1">
        <v>44713</v>
      </c>
      <c r="F8" s="2">
        <v>0.4694444444444445</v>
      </c>
      <c r="G8">
        <v>54.726646000000002</v>
      </c>
      <c r="H8">
        <v>123.32728400000001</v>
      </c>
      <c r="I8" t="s">
        <v>23</v>
      </c>
      <c r="J8">
        <v>7.1</v>
      </c>
      <c r="L8" t="s">
        <v>32</v>
      </c>
      <c r="M8">
        <v>1</v>
      </c>
      <c r="N8">
        <v>7044</v>
      </c>
      <c r="O8">
        <v>68.5</v>
      </c>
      <c r="P8">
        <f>3000-650</f>
        <v>2350</v>
      </c>
      <c r="Q8" t="s">
        <v>455</v>
      </c>
      <c r="R8">
        <v>250</v>
      </c>
      <c r="S8" t="s">
        <v>484</v>
      </c>
    </row>
    <row r="9" spans="1:19" x14ac:dyDescent="0.2">
      <c r="A9" t="s">
        <v>453</v>
      </c>
      <c r="B9" t="s">
        <v>504</v>
      </c>
      <c r="C9" s="1">
        <v>44712</v>
      </c>
      <c r="D9" s="2">
        <v>0.63541666666666663</v>
      </c>
      <c r="E9" s="1">
        <v>44713</v>
      </c>
      <c r="F9" s="2">
        <v>0.4826388888888889</v>
      </c>
      <c r="G9">
        <v>54.719526999999999</v>
      </c>
      <c r="H9">
        <v>123.34813</v>
      </c>
      <c r="I9" t="s">
        <v>23</v>
      </c>
      <c r="J9">
        <v>9.6999999999999993</v>
      </c>
      <c r="L9" t="s">
        <v>32</v>
      </c>
      <c r="M9">
        <v>1</v>
      </c>
      <c r="N9">
        <v>7045</v>
      </c>
      <c r="O9">
        <v>70.5</v>
      </c>
      <c r="P9">
        <f>2600-650</f>
        <v>1950</v>
      </c>
      <c r="Q9" t="s">
        <v>455</v>
      </c>
      <c r="R9">
        <v>150</v>
      </c>
      <c r="S9" t="s">
        <v>484</v>
      </c>
    </row>
    <row r="10" spans="1:19" x14ac:dyDescent="0.2">
      <c r="A10" t="s">
        <v>453</v>
      </c>
      <c r="B10" t="s">
        <v>514</v>
      </c>
      <c r="C10" s="1">
        <v>44713</v>
      </c>
      <c r="D10" s="2">
        <v>0.53541666666666665</v>
      </c>
      <c r="E10" s="1">
        <v>44714</v>
      </c>
      <c r="F10" s="2">
        <v>0.43055555555555558</v>
      </c>
      <c r="G10">
        <v>54.735532999999997</v>
      </c>
      <c r="H10">
        <v>123.28643</v>
      </c>
      <c r="I10" t="s">
        <v>23</v>
      </c>
      <c r="J10">
        <v>9.4</v>
      </c>
      <c r="L10" t="s">
        <v>32</v>
      </c>
      <c r="M10">
        <v>1</v>
      </c>
      <c r="N10">
        <v>7047</v>
      </c>
      <c r="O10">
        <v>60</v>
      </c>
      <c r="P10">
        <f>2300-650</f>
        <v>1650</v>
      </c>
      <c r="Q10" t="s">
        <v>455</v>
      </c>
      <c r="R10">
        <v>100</v>
      </c>
    </row>
    <row r="11" spans="1:19" x14ac:dyDescent="0.2">
      <c r="A11" t="s">
        <v>453</v>
      </c>
      <c r="B11" t="s">
        <v>522</v>
      </c>
      <c r="C11" s="1">
        <v>44713</v>
      </c>
      <c r="D11" s="2">
        <v>0.57777777777777783</v>
      </c>
      <c r="E11" s="1">
        <v>44714</v>
      </c>
      <c r="F11" s="2">
        <v>0.46180555555555558</v>
      </c>
      <c r="G11">
        <v>54.77176</v>
      </c>
      <c r="H11">
        <v>123.26755300000001</v>
      </c>
      <c r="I11" t="s">
        <v>23</v>
      </c>
      <c r="J11">
        <v>4.8</v>
      </c>
      <c r="L11" t="s">
        <v>32</v>
      </c>
      <c r="M11">
        <v>1</v>
      </c>
      <c r="N11">
        <v>7048</v>
      </c>
      <c r="O11">
        <v>55</v>
      </c>
      <c r="P11">
        <f>2000-650</f>
        <v>1350</v>
      </c>
      <c r="Q11" t="s">
        <v>455</v>
      </c>
      <c r="R11">
        <v>100</v>
      </c>
    </row>
    <row r="12" spans="1:19" x14ac:dyDescent="0.2">
      <c r="A12" t="s">
        <v>453</v>
      </c>
      <c r="B12" t="s">
        <v>524</v>
      </c>
      <c r="C12" s="1">
        <v>44713</v>
      </c>
      <c r="D12" s="2">
        <v>0.58888888888888891</v>
      </c>
      <c r="E12" s="1">
        <v>44714</v>
      </c>
      <c r="F12" s="2">
        <v>0.47152777777777777</v>
      </c>
      <c r="G12">
        <v>54.774081000000002</v>
      </c>
      <c r="H12">
        <v>123.262835</v>
      </c>
      <c r="I12" t="s">
        <v>23</v>
      </c>
      <c r="J12">
        <v>2.9</v>
      </c>
      <c r="L12" t="s">
        <v>32</v>
      </c>
      <c r="M12">
        <v>1</v>
      </c>
      <c r="N12">
        <v>7049</v>
      </c>
      <c r="O12">
        <v>53.5</v>
      </c>
      <c r="P12">
        <f>1900-650</f>
        <v>1250</v>
      </c>
      <c r="Q12" t="s">
        <v>455</v>
      </c>
      <c r="R12">
        <v>100</v>
      </c>
    </row>
    <row r="13" spans="1:19" x14ac:dyDescent="0.2">
      <c r="A13" t="s">
        <v>453</v>
      </c>
      <c r="B13" t="s">
        <v>528</v>
      </c>
      <c r="C13" s="1">
        <v>44713</v>
      </c>
      <c r="D13" s="2">
        <v>0.60347222222222219</v>
      </c>
      <c r="E13" s="1">
        <v>44714</v>
      </c>
      <c r="F13" s="2">
        <v>0.4993055555555555</v>
      </c>
      <c r="G13">
        <v>54.752913999999997</v>
      </c>
      <c r="H13">
        <v>123.314221</v>
      </c>
      <c r="I13" t="s">
        <v>23</v>
      </c>
      <c r="J13">
        <v>9.9</v>
      </c>
      <c r="L13" t="s">
        <v>32</v>
      </c>
      <c r="M13">
        <v>1</v>
      </c>
      <c r="N13">
        <v>7050</v>
      </c>
      <c r="O13">
        <v>92</v>
      </c>
      <c r="P13" t="s">
        <v>507</v>
      </c>
      <c r="Q13" t="s">
        <v>455</v>
      </c>
      <c r="R13">
        <v>120</v>
      </c>
    </row>
    <row r="14" spans="1:19" x14ac:dyDescent="0.2">
      <c r="A14" t="s">
        <v>453</v>
      </c>
      <c r="B14" t="s">
        <v>539</v>
      </c>
      <c r="C14" s="1">
        <v>44714</v>
      </c>
      <c r="D14" s="2">
        <v>0.62916666666666665</v>
      </c>
      <c r="E14" s="1">
        <v>44715</v>
      </c>
      <c r="F14" s="2">
        <v>0.42986111111111108</v>
      </c>
      <c r="G14">
        <v>54.803314999999998</v>
      </c>
      <c r="H14">
        <v>123.325039</v>
      </c>
      <c r="I14" t="s">
        <v>23</v>
      </c>
      <c r="J14">
        <v>5.7</v>
      </c>
      <c r="L14" t="s">
        <v>32</v>
      </c>
      <c r="M14">
        <v>1</v>
      </c>
      <c r="N14">
        <v>7052</v>
      </c>
      <c r="O14">
        <v>60</v>
      </c>
      <c r="P14">
        <f>2100-650</f>
        <v>1450</v>
      </c>
      <c r="Q14" t="s">
        <v>455</v>
      </c>
      <c r="R14">
        <v>200</v>
      </c>
    </row>
    <row r="15" spans="1:19" x14ac:dyDescent="0.2">
      <c r="A15" t="s">
        <v>453</v>
      </c>
      <c r="B15" t="s">
        <v>536</v>
      </c>
      <c r="C15" s="1">
        <v>44714</v>
      </c>
      <c r="D15" s="2">
        <v>0.64027777777777783</v>
      </c>
      <c r="E15" s="1">
        <v>44715</v>
      </c>
      <c r="F15" s="2">
        <v>0.44513888888888892</v>
      </c>
      <c r="G15">
        <v>54.806387000000001</v>
      </c>
      <c r="H15">
        <v>123.35023700000001</v>
      </c>
      <c r="I15" t="s">
        <v>23</v>
      </c>
      <c r="J15">
        <v>4</v>
      </c>
      <c r="L15" t="s">
        <v>32</v>
      </c>
      <c r="M15">
        <v>1</v>
      </c>
      <c r="N15">
        <v>7053</v>
      </c>
      <c r="O15">
        <v>63.5</v>
      </c>
      <c r="P15">
        <f>2250-650</f>
        <v>1600</v>
      </c>
      <c r="Q15" t="s">
        <v>455</v>
      </c>
      <c r="R15">
        <v>150</v>
      </c>
    </row>
    <row r="16" spans="1:19" x14ac:dyDescent="0.2">
      <c r="A16" t="s">
        <v>19</v>
      </c>
      <c r="B16" t="s">
        <v>349</v>
      </c>
      <c r="C16" s="1">
        <v>44718</v>
      </c>
      <c r="D16" s="2">
        <v>0.74375000000000002</v>
      </c>
      <c r="E16" s="1">
        <v>44719</v>
      </c>
      <c r="F16" s="2">
        <v>0.42291666666666666</v>
      </c>
      <c r="G16">
        <v>54.088852000000003</v>
      </c>
      <c r="H16">
        <v>124.74549500000001</v>
      </c>
      <c r="I16" t="s">
        <v>23</v>
      </c>
      <c r="J16">
        <v>7.8</v>
      </c>
      <c r="L16" t="s">
        <v>32</v>
      </c>
      <c r="M16">
        <v>1</v>
      </c>
      <c r="N16" s="5">
        <v>7054</v>
      </c>
      <c r="O16" s="5"/>
      <c r="P16" s="5"/>
      <c r="Q16" t="s">
        <v>25</v>
      </c>
      <c r="R16">
        <v>110</v>
      </c>
    </row>
    <row r="17" spans="1:19" x14ac:dyDescent="0.2">
      <c r="A17" t="s">
        <v>19</v>
      </c>
      <c r="B17" t="s">
        <v>315</v>
      </c>
      <c r="C17" s="1">
        <v>44701</v>
      </c>
      <c r="D17" s="2">
        <v>0.50277777777777777</v>
      </c>
      <c r="E17" s="1">
        <v>44702</v>
      </c>
      <c r="F17" s="2">
        <v>0.44027777777777777</v>
      </c>
      <c r="G17" s="3" t="s">
        <v>316</v>
      </c>
      <c r="H17" s="3" t="s">
        <v>317</v>
      </c>
      <c r="I17" t="s">
        <v>23</v>
      </c>
      <c r="J17">
        <v>3.1</v>
      </c>
      <c r="L17" t="s">
        <v>32</v>
      </c>
      <c r="M17">
        <v>1</v>
      </c>
      <c r="N17">
        <v>7058</v>
      </c>
      <c r="O17">
        <v>65</v>
      </c>
      <c r="P17">
        <v>2050</v>
      </c>
      <c r="Q17" t="s">
        <v>25</v>
      </c>
      <c r="R17">
        <v>150</v>
      </c>
    </row>
    <row r="18" spans="1:19" x14ac:dyDescent="0.2">
      <c r="A18" t="s">
        <v>19</v>
      </c>
      <c r="B18" t="s">
        <v>217</v>
      </c>
      <c r="C18" s="1">
        <v>44698</v>
      </c>
      <c r="D18" s="2">
        <v>0.4201388888888889</v>
      </c>
      <c r="E18" s="1">
        <v>44700</v>
      </c>
      <c r="F18" s="2">
        <v>0.37916666666666665</v>
      </c>
      <c r="G18" s="3" t="s">
        <v>218</v>
      </c>
      <c r="H18" s="3" t="s">
        <v>219</v>
      </c>
      <c r="I18" t="s">
        <v>23</v>
      </c>
      <c r="J18">
        <v>8.5</v>
      </c>
      <c r="K18">
        <v>6.7</v>
      </c>
      <c r="L18" t="s">
        <v>32</v>
      </c>
      <c r="M18">
        <v>1</v>
      </c>
      <c r="N18">
        <v>7059</v>
      </c>
      <c r="O18">
        <v>60</v>
      </c>
      <c r="P18">
        <v>1250</v>
      </c>
      <c r="Q18" t="s">
        <v>25</v>
      </c>
      <c r="R18">
        <v>200</v>
      </c>
    </row>
    <row r="19" spans="1:19" x14ac:dyDescent="0.2">
      <c r="A19" t="s">
        <v>19</v>
      </c>
      <c r="B19" t="s">
        <v>166</v>
      </c>
      <c r="C19" s="1">
        <v>44697</v>
      </c>
      <c r="D19" s="2">
        <v>0.65</v>
      </c>
      <c r="E19" s="1">
        <v>44698</v>
      </c>
      <c r="F19" s="2">
        <v>0.46388888888888885</v>
      </c>
      <c r="G19" s="3" t="s">
        <v>167</v>
      </c>
      <c r="H19" s="3" t="s">
        <v>168</v>
      </c>
      <c r="I19" t="s">
        <v>23</v>
      </c>
      <c r="J19">
        <v>5.6</v>
      </c>
      <c r="L19" t="s">
        <v>32</v>
      </c>
      <c r="M19">
        <v>1</v>
      </c>
      <c r="N19">
        <v>7060</v>
      </c>
      <c r="O19">
        <v>52.5</v>
      </c>
      <c r="P19">
        <v>1000</v>
      </c>
      <c r="Q19" t="s">
        <v>25</v>
      </c>
      <c r="R19">
        <v>200</v>
      </c>
      <c r="S19" t="s">
        <v>169</v>
      </c>
    </row>
    <row r="20" spans="1:19" x14ac:dyDescent="0.2">
      <c r="A20" t="s">
        <v>19</v>
      </c>
      <c r="B20" t="s">
        <v>232</v>
      </c>
      <c r="C20" s="1">
        <v>44698</v>
      </c>
      <c r="D20" s="2">
        <v>0.4152777777777778</v>
      </c>
      <c r="E20" s="1">
        <v>44700</v>
      </c>
      <c r="F20" s="2">
        <v>0.36041666666666666</v>
      </c>
      <c r="G20" s="3" t="s">
        <v>233</v>
      </c>
      <c r="H20" s="3" t="s">
        <v>234</v>
      </c>
      <c r="I20" t="s">
        <v>23</v>
      </c>
      <c r="J20">
        <v>4.8</v>
      </c>
      <c r="L20" t="s">
        <v>32</v>
      </c>
      <c r="M20">
        <v>1</v>
      </c>
      <c r="N20">
        <v>7187</v>
      </c>
      <c r="O20" t="s">
        <v>235</v>
      </c>
      <c r="P20" t="s">
        <v>235</v>
      </c>
      <c r="Q20" t="s">
        <v>25</v>
      </c>
      <c r="R20">
        <v>200</v>
      </c>
    </row>
    <row r="21" spans="1:19" x14ac:dyDescent="0.2">
      <c r="A21" t="s">
        <v>19</v>
      </c>
      <c r="B21" t="s">
        <v>213</v>
      </c>
      <c r="C21" s="1">
        <v>44698</v>
      </c>
      <c r="D21" s="2">
        <v>0.42638888888888887</v>
      </c>
      <c r="E21" s="1">
        <v>44700</v>
      </c>
      <c r="F21" s="2">
        <v>0.38958333333333334</v>
      </c>
      <c r="G21" s="3" t="s">
        <v>214</v>
      </c>
      <c r="H21" s="3" t="s">
        <v>215</v>
      </c>
      <c r="I21" t="s">
        <v>23</v>
      </c>
      <c r="J21">
        <v>5</v>
      </c>
      <c r="K21">
        <v>6.9</v>
      </c>
      <c r="L21" t="s">
        <v>32</v>
      </c>
      <c r="M21">
        <v>1</v>
      </c>
      <c r="N21">
        <v>7188</v>
      </c>
      <c r="O21">
        <v>50.2</v>
      </c>
      <c r="P21">
        <v>900</v>
      </c>
      <c r="Q21" t="s">
        <v>25</v>
      </c>
      <c r="R21">
        <v>200</v>
      </c>
      <c r="S21" t="s">
        <v>216</v>
      </c>
    </row>
    <row r="22" spans="1:19" x14ac:dyDescent="0.2">
      <c r="A22" t="s">
        <v>19</v>
      </c>
      <c r="B22" t="s">
        <v>334</v>
      </c>
      <c r="C22" s="1">
        <v>44701</v>
      </c>
      <c r="D22" s="2">
        <v>0.48125000000000001</v>
      </c>
      <c r="E22" s="1">
        <v>44702</v>
      </c>
      <c r="F22" s="2">
        <v>0.41388888888888892</v>
      </c>
      <c r="G22" s="3" t="s">
        <v>335</v>
      </c>
      <c r="H22" s="3" t="s">
        <v>336</v>
      </c>
      <c r="I22" t="s">
        <v>23</v>
      </c>
      <c r="J22">
        <v>8.6999999999999993</v>
      </c>
      <c r="K22">
        <v>7</v>
      </c>
      <c r="L22" t="s">
        <v>32</v>
      </c>
      <c r="M22">
        <v>1</v>
      </c>
      <c r="N22">
        <v>7189</v>
      </c>
      <c r="O22">
        <v>35.5</v>
      </c>
      <c r="P22">
        <v>250</v>
      </c>
      <c r="Q22" t="s">
        <v>25</v>
      </c>
      <c r="R22">
        <v>150</v>
      </c>
    </row>
    <row r="23" spans="1:19" x14ac:dyDescent="0.2">
      <c r="A23" t="s">
        <v>19</v>
      </c>
      <c r="B23" t="s">
        <v>308</v>
      </c>
      <c r="C23" s="1">
        <v>44701</v>
      </c>
      <c r="D23" s="2">
        <v>0.52569444444444446</v>
      </c>
      <c r="E23" s="1">
        <v>44702</v>
      </c>
      <c r="F23" s="2">
        <v>0.48333333333333334</v>
      </c>
      <c r="G23" s="3" t="s">
        <v>309</v>
      </c>
      <c r="H23" s="3" t="s">
        <v>310</v>
      </c>
      <c r="I23" t="s">
        <v>23</v>
      </c>
      <c r="J23">
        <v>9.1999999999999993</v>
      </c>
      <c r="L23" t="s">
        <v>32</v>
      </c>
      <c r="M23">
        <v>2</v>
      </c>
      <c r="N23">
        <v>7190</v>
      </c>
      <c r="O23">
        <v>69</v>
      </c>
      <c r="P23">
        <v>2150</v>
      </c>
      <c r="Q23" t="s">
        <v>25</v>
      </c>
      <c r="R23">
        <v>150</v>
      </c>
      <c r="S23" t="s">
        <v>311</v>
      </c>
    </row>
    <row r="24" spans="1:19" x14ac:dyDescent="0.2">
      <c r="A24" t="s">
        <v>453</v>
      </c>
      <c r="B24" t="s">
        <v>462</v>
      </c>
      <c r="C24" s="1">
        <v>44711</v>
      </c>
      <c r="D24" s="2">
        <v>0.67499999999999993</v>
      </c>
      <c r="E24" s="1">
        <v>44712</v>
      </c>
      <c r="F24" s="2">
        <v>0.42986111111111108</v>
      </c>
      <c r="G24">
        <v>54.774850000000001</v>
      </c>
      <c r="H24">
        <v>123.41049099999999</v>
      </c>
      <c r="I24" t="s">
        <v>23</v>
      </c>
      <c r="J24">
        <v>6.6</v>
      </c>
      <c r="L24" t="s">
        <v>32</v>
      </c>
      <c r="M24">
        <v>1</v>
      </c>
      <c r="N24">
        <v>7195</v>
      </c>
      <c r="O24">
        <v>76</v>
      </c>
      <c r="P24">
        <f>4400-650</f>
        <v>3750</v>
      </c>
      <c r="Q24" t="s">
        <v>455</v>
      </c>
      <c r="R24">
        <v>100</v>
      </c>
    </row>
    <row r="25" spans="1:19" x14ac:dyDescent="0.2">
      <c r="A25" t="s">
        <v>453</v>
      </c>
      <c r="B25" t="s">
        <v>472</v>
      </c>
      <c r="C25" s="1">
        <v>44711</v>
      </c>
      <c r="D25" s="2">
        <v>0.72986111111111107</v>
      </c>
      <c r="E25" s="1">
        <v>44712</v>
      </c>
      <c r="F25" s="2">
        <v>0.47291666666666665</v>
      </c>
      <c r="G25">
        <v>54.746737000000003</v>
      </c>
      <c r="H25">
        <v>123.408192</v>
      </c>
      <c r="I25" t="s">
        <v>23</v>
      </c>
      <c r="J25">
        <v>8.1</v>
      </c>
      <c r="L25" t="s">
        <v>32</v>
      </c>
      <c r="M25">
        <v>1</v>
      </c>
      <c r="N25">
        <v>7196</v>
      </c>
      <c r="O25">
        <v>68</v>
      </c>
      <c r="P25">
        <f>4000-650</f>
        <v>3350</v>
      </c>
      <c r="Q25" t="s">
        <v>455</v>
      </c>
      <c r="R25">
        <v>110</v>
      </c>
      <c r="S25" t="s">
        <v>473</v>
      </c>
    </row>
    <row r="26" spans="1:19" x14ac:dyDescent="0.2">
      <c r="A26" t="s">
        <v>453</v>
      </c>
      <c r="B26" t="s">
        <v>475</v>
      </c>
      <c r="C26" s="1">
        <v>44711</v>
      </c>
      <c r="D26" s="2">
        <v>0.7416666666666667</v>
      </c>
      <c r="E26" s="1">
        <v>44712</v>
      </c>
      <c r="F26" s="2">
        <v>0.49513888888888885</v>
      </c>
      <c r="G26">
        <v>54.759518999999997</v>
      </c>
      <c r="H26">
        <v>123.397828</v>
      </c>
      <c r="I26" t="s">
        <v>23</v>
      </c>
      <c r="J26">
        <v>7.7</v>
      </c>
      <c r="L26" t="s">
        <v>32</v>
      </c>
      <c r="M26">
        <v>1</v>
      </c>
      <c r="N26">
        <v>7197</v>
      </c>
      <c r="O26">
        <v>59</v>
      </c>
      <c r="P26">
        <f>2200-650</f>
        <v>1550</v>
      </c>
      <c r="Q26" t="s">
        <v>455</v>
      </c>
      <c r="R26">
        <v>150</v>
      </c>
    </row>
    <row r="27" spans="1:19" x14ac:dyDescent="0.2">
      <c r="A27" t="s">
        <v>453</v>
      </c>
      <c r="B27" t="s">
        <v>479</v>
      </c>
      <c r="C27" s="1">
        <v>44711</v>
      </c>
      <c r="D27" s="2">
        <v>0.75347222222222221</v>
      </c>
      <c r="E27" s="1">
        <v>44712</v>
      </c>
      <c r="F27" s="2">
        <v>0.51250000000000007</v>
      </c>
      <c r="G27">
        <v>54.763165999999998</v>
      </c>
      <c r="H27">
        <v>123.37401699999999</v>
      </c>
      <c r="I27" t="s">
        <v>23</v>
      </c>
      <c r="J27">
        <v>7</v>
      </c>
      <c r="L27" t="s">
        <v>32</v>
      </c>
      <c r="M27">
        <v>1</v>
      </c>
      <c r="N27">
        <v>7199</v>
      </c>
      <c r="O27">
        <v>62</v>
      </c>
      <c r="P27">
        <f>4000-650</f>
        <v>3350</v>
      </c>
      <c r="Q27" t="s">
        <v>455</v>
      </c>
      <c r="R27">
        <v>200</v>
      </c>
    </row>
    <row r="28" spans="1:19" x14ac:dyDescent="0.2">
      <c r="A28" t="s">
        <v>453</v>
      </c>
      <c r="B28" t="s">
        <v>490</v>
      </c>
      <c r="C28" s="1">
        <v>44712</v>
      </c>
      <c r="D28" s="2">
        <v>0.57777777777777783</v>
      </c>
      <c r="E28" s="1">
        <v>44713</v>
      </c>
      <c r="F28" s="2">
        <v>0.40972222222222227</v>
      </c>
      <c r="G28">
        <v>54.741973000000002</v>
      </c>
      <c r="H28">
        <v>123.358549</v>
      </c>
      <c r="I28" t="s">
        <v>23</v>
      </c>
      <c r="J28">
        <v>9.9</v>
      </c>
      <c r="L28" t="s">
        <v>32</v>
      </c>
      <c r="M28">
        <v>1</v>
      </c>
      <c r="N28">
        <v>7202</v>
      </c>
      <c r="O28">
        <v>60.5</v>
      </c>
      <c r="P28">
        <f>2100-650</f>
        <v>1450</v>
      </c>
      <c r="Q28" t="s">
        <v>455</v>
      </c>
      <c r="R28">
        <v>200</v>
      </c>
      <c r="S28" t="s">
        <v>484</v>
      </c>
    </row>
    <row r="29" spans="1:19" x14ac:dyDescent="0.2">
      <c r="A29" t="s">
        <v>453</v>
      </c>
      <c r="B29" t="s">
        <v>500</v>
      </c>
      <c r="C29" s="1">
        <v>44712</v>
      </c>
      <c r="D29" s="2">
        <v>0.61319444444444449</v>
      </c>
      <c r="E29" s="1">
        <v>44713</v>
      </c>
      <c r="F29" s="2">
        <v>0.45555555555555555</v>
      </c>
      <c r="G29">
        <v>54.728614</v>
      </c>
      <c r="H29">
        <v>123.311384</v>
      </c>
      <c r="I29" t="s">
        <v>23</v>
      </c>
      <c r="J29">
        <v>8.9</v>
      </c>
      <c r="L29" t="s">
        <v>32</v>
      </c>
      <c r="M29">
        <v>1</v>
      </c>
      <c r="N29">
        <v>7206</v>
      </c>
      <c r="O29">
        <v>60</v>
      </c>
      <c r="P29">
        <f>2200-650</f>
        <v>1550</v>
      </c>
      <c r="Q29" t="s">
        <v>455</v>
      </c>
      <c r="R29">
        <v>250</v>
      </c>
      <c r="S29" t="s">
        <v>484</v>
      </c>
    </row>
    <row r="30" spans="1:19" x14ac:dyDescent="0.2">
      <c r="A30" t="s">
        <v>19</v>
      </c>
      <c r="B30" t="s">
        <v>145</v>
      </c>
      <c r="C30" s="1">
        <v>44697</v>
      </c>
      <c r="D30" s="2">
        <v>0.6020833333333333</v>
      </c>
      <c r="E30" s="1">
        <v>44698</v>
      </c>
      <c r="F30" s="2">
        <v>0.38958333333333334</v>
      </c>
      <c r="G30" s="3" t="s">
        <v>146</v>
      </c>
      <c r="H30" s="3" t="s">
        <v>147</v>
      </c>
      <c r="I30" t="s">
        <v>23</v>
      </c>
      <c r="J30">
        <v>7</v>
      </c>
      <c r="K30">
        <v>6.6</v>
      </c>
      <c r="L30" t="s">
        <v>32</v>
      </c>
      <c r="M30">
        <v>1</v>
      </c>
      <c r="N30">
        <v>7208</v>
      </c>
      <c r="O30">
        <v>54</v>
      </c>
      <c r="P30">
        <v>800</v>
      </c>
      <c r="Q30" t="s">
        <v>25</v>
      </c>
      <c r="R30">
        <v>200</v>
      </c>
    </row>
    <row r="31" spans="1:19" x14ac:dyDescent="0.2">
      <c r="A31" t="s">
        <v>19</v>
      </c>
      <c r="B31" t="s">
        <v>29</v>
      </c>
      <c r="C31" s="1">
        <v>44692</v>
      </c>
      <c r="D31" s="2">
        <v>0.7270833333333333</v>
      </c>
      <c r="E31" s="1">
        <v>44693</v>
      </c>
      <c r="F31" s="2">
        <v>0.50555555555555554</v>
      </c>
      <c r="G31" s="3" t="s">
        <v>30</v>
      </c>
      <c r="H31" s="3" t="s">
        <v>31</v>
      </c>
      <c r="I31" t="s">
        <v>23</v>
      </c>
      <c r="J31">
        <v>4.0999999999999996</v>
      </c>
      <c r="L31" t="s">
        <v>32</v>
      </c>
      <c r="M31">
        <v>1</v>
      </c>
      <c r="N31">
        <v>7210</v>
      </c>
      <c r="O31">
        <v>57.5</v>
      </c>
      <c r="P31">
        <v>1100</v>
      </c>
      <c r="Q31" t="s">
        <v>25</v>
      </c>
      <c r="R31">
        <v>150</v>
      </c>
    </row>
    <row r="32" spans="1:19" x14ac:dyDescent="0.2">
      <c r="A32" t="s">
        <v>453</v>
      </c>
      <c r="B32" t="s">
        <v>750</v>
      </c>
      <c r="C32" s="1">
        <v>44861</v>
      </c>
      <c r="D32" s="2">
        <v>0.65</v>
      </c>
      <c r="E32" s="1">
        <v>44862</v>
      </c>
      <c r="F32" s="2">
        <v>0.48402777777777778</v>
      </c>
      <c r="G32">
        <v>54.804451999999998</v>
      </c>
      <c r="H32">
        <v>123.35401400000001</v>
      </c>
      <c r="I32" t="s">
        <v>23</v>
      </c>
      <c r="J32">
        <v>2.2999999999999998</v>
      </c>
      <c r="L32" t="s">
        <v>32</v>
      </c>
      <c r="M32">
        <v>1</v>
      </c>
      <c r="N32">
        <v>7311</v>
      </c>
      <c r="O32">
        <v>91.3</v>
      </c>
      <c r="P32">
        <v>4900</v>
      </c>
      <c r="Q32" t="s">
        <v>734</v>
      </c>
      <c r="R32">
        <v>150</v>
      </c>
    </row>
    <row r="33" spans="1:19" x14ac:dyDescent="0.2">
      <c r="A33" t="s">
        <v>19</v>
      </c>
      <c r="B33" t="s">
        <v>347</v>
      </c>
      <c r="C33" s="1">
        <v>44718</v>
      </c>
      <c r="D33" s="2">
        <v>0.77569444444444446</v>
      </c>
      <c r="E33" s="1">
        <v>44719</v>
      </c>
      <c r="F33" s="2">
        <v>0.4861111111111111</v>
      </c>
      <c r="G33">
        <v>54.102665000000002</v>
      </c>
      <c r="H33">
        <v>124.711592</v>
      </c>
      <c r="I33" t="s">
        <v>23</v>
      </c>
      <c r="J33">
        <v>7.9</v>
      </c>
      <c r="L33" t="s">
        <v>32</v>
      </c>
      <c r="M33">
        <v>1</v>
      </c>
      <c r="N33" s="5">
        <v>7362</v>
      </c>
      <c r="O33" s="5"/>
      <c r="P33" s="5"/>
      <c r="Q33" t="s">
        <v>25</v>
      </c>
      <c r="R33">
        <v>160</v>
      </c>
    </row>
    <row r="34" spans="1:19" x14ac:dyDescent="0.2">
      <c r="A34" t="s">
        <v>19</v>
      </c>
      <c r="B34" t="s">
        <v>347</v>
      </c>
      <c r="C34" s="1">
        <v>44719</v>
      </c>
      <c r="D34" s="2">
        <v>0.4909722222222222</v>
      </c>
      <c r="E34" s="1">
        <v>44720</v>
      </c>
      <c r="F34" s="2">
        <v>0.51250000000000007</v>
      </c>
      <c r="G34">
        <v>54.102665000000002</v>
      </c>
      <c r="H34">
        <v>124.711592</v>
      </c>
      <c r="I34" t="s">
        <v>23</v>
      </c>
      <c r="J34">
        <v>9</v>
      </c>
      <c r="L34" t="s">
        <v>32</v>
      </c>
      <c r="M34">
        <v>1</v>
      </c>
      <c r="N34">
        <v>7363</v>
      </c>
      <c r="Q34" t="s">
        <v>25</v>
      </c>
      <c r="R34">
        <v>300</v>
      </c>
    </row>
    <row r="35" spans="1:19" x14ac:dyDescent="0.2">
      <c r="A35" t="s">
        <v>19</v>
      </c>
      <c r="B35" t="s">
        <v>373</v>
      </c>
      <c r="C35" s="1">
        <v>44720</v>
      </c>
      <c r="D35" s="2">
        <v>0.57916666666666672</v>
      </c>
      <c r="E35" s="1">
        <v>44722</v>
      </c>
      <c r="F35" s="2">
        <v>0.37708333333333338</v>
      </c>
      <c r="G35">
        <v>54.082051999999997</v>
      </c>
      <c r="H35">
        <v>124.621253</v>
      </c>
      <c r="I35" t="s">
        <v>23</v>
      </c>
      <c r="J35">
        <v>3.5</v>
      </c>
      <c r="L35" t="s">
        <v>32</v>
      </c>
      <c r="M35">
        <v>1</v>
      </c>
      <c r="N35">
        <v>7365</v>
      </c>
      <c r="Q35" t="s">
        <v>358</v>
      </c>
      <c r="R35">
        <v>150</v>
      </c>
    </row>
    <row r="36" spans="1:19" x14ac:dyDescent="0.2">
      <c r="A36" t="s">
        <v>19</v>
      </c>
      <c r="B36" t="s">
        <v>378</v>
      </c>
      <c r="C36" s="1">
        <v>44722</v>
      </c>
      <c r="D36" s="2">
        <v>0.48125000000000001</v>
      </c>
      <c r="E36" s="1">
        <v>44724</v>
      </c>
      <c r="F36" s="2">
        <v>0.51874999999999993</v>
      </c>
      <c r="G36">
        <v>54.074736999999999</v>
      </c>
      <c r="H36">
        <v>124.621585</v>
      </c>
      <c r="I36" t="s">
        <v>23</v>
      </c>
      <c r="J36">
        <v>4.0999999999999996</v>
      </c>
      <c r="L36" t="s">
        <v>32</v>
      </c>
      <c r="M36">
        <v>1</v>
      </c>
      <c r="N36">
        <v>7370</v>
      </c>
      <c r="Q36" t="s">
        <v>358</v>
      </c>
      <c r="R36">
        <v>130</v>
      </c>
      <c r="S36" t="s">
        <v>379</v>
      </c>
    </row>
    <row r="37" spans="1:19" x14ac:dyDescent="0.2">
      <c r="A37" t="s">
        <v>453</v>
      </c>
      <c r="B37" t="s">
        <v>556</v>
      </c>
      <c r="C37" s="1">
        <v>44732</v>
      </c>
      <c r="D37" s="2">
        <v>0.63680555555555551</v>
      </c>
      <c r="E37" s="1">
        <v>44733</v>
      </c>
      <c r="F37" s="2">
        <v>0.37847222222222227</v>
      </c>
      <c r="G37">
        <v>54.764977999999999</v>
      </c>
      <c r="H37">
        <v>123.370046</v>
      </c>
      <c r="I37" t="s">
        <v>23</v>
      </c>
      <c r="J37">
        <v>7.9</v>
      </c>
      <c r="L37" t="s">
        <v>32</v>
      </c>
      <c r="M37">
        <v>1</v>
      </c>
      <c r="N37">
        <v>7371</v>
      </c>
      <c r="O37">
        <v>64</v>
      </c>
      <c r="P37">
        <f>2400-650</f>
        <v>1750</v>
      </c>
      <c r="Q37" t="s">
        <v>455</v>
      </c>
      <c r="R37">
        <v>100</v>
      </c>
    </row>
    <row r="38" spans="1:19" x14ac:dyDescent="0.2">
      <c r="A38" t="s">
        <v>453</v>
      </c>
      <c r="B38" t="s">
        <v>560</v>
      </c>
      <c r="C38" s="1">
        <v>44732</v>
      </c>
      <c r="D38" s="2">
        <v>0.65</v>
      </c>
      <c r="E38" s="1">
        <v>44733</v>
      </c>
      <c r="F38" s="2">
        <v>0.39930555555555558</v>
      </c>
      <c r="G38">
        <v>54.771107000000001</v>
      </c>
      <c r="H38">
        <v>123.358816</v>
      </c>
      <c r="I38" t="s">
        <v>23</v>
      </c>
      <c r="J38">
        <v>9.3000000000000007</v>
      </c>
      <c r="L38" t="s">
        <v>32</v>
      </c>
      <c r="M38">
        <v>1</v>
      </c>
      <c r="N38">
        <v>7373</v>
      </c>
      <c r="O38">
        <v>75</v>
      </c>
      <c r="P38">
        <f>3900-650</f>
        <v>3250</v>
      </c>
      <c r="Q38" t="s">
        <v>455</v>
      </c>
      <c r="R38">
        <v>100</v>
      </c>
    </row>
    <row r="39" spans="1:19" x14ac:dyDescent="0.2">
      <c r="A39" t="s">
        <v>453</v>
      </c>
      <c r="B39" t="s">
        <v>570</v>
      </c>
      <c r="C39" s="1">
        <v>44732</v>
      </c>
      <c r="D39" s="2">
        <v>0.72986111111111107</v>
      </c>
      <c r="E39" s="1">
        <v>44733</v>
      </c>
      <c r="F39" s="2">
        <v>0.4597222222222222</v>
      </c>
      <c r="G39">
        <v>54.774647999999999</v>
      </c>
      <c r="H39">
        <v>123.400565</v>
      </c>
      <c r="I39" t="s">
        <v>23</v>
      </c>
      <c r="J39">
        <v>5</v>
      </c>
      <c r="L39" t="s">
        <v>32</v>
      </c>
      <c r="M39">
        <v>1</v>
      </c>
      <c r="N39">
        <v>7374</v>
      </c>
      <c r="O39">
        <v>55</v>
      </c>
      <c r="P39">
        <f>1800-650</f>
        <v>1150</v>
      </c>
      <c r="Q39" t="s">
        <v>455</v>
      </c>
      <c r="R39">
        <v>100</v>
      </c>
    </row>
    <row r="40" spans="1:19" x14ac:dyDescent="0.2">
      <c r="A40" t="s">
        <v>453</v>
      </c>
      <c r="B40" t="s">
        <v>572</v>
      </c>
      <c r="C40" s="1">
        <v>44732</v>
      </c>
      <c r="D40" s="2">
        <v>0.74652777777777779</v>
      </c>
      <c r="E40" s="1">
        <v>44733</v>
      </c>
      <c r="F40" s="2">
        <v>0.46875</v>
      </c>
      <c r="G40">
        <v>54.777931000000002</v>
      </c>
      <c r="H40">
        <v>123.38261199999999</v>
      </c>
      <c r="I40" t="s">
        <v>23</v>
      </c>
      <c r="J40">
        <v>10</v>
      </c>
      <c r="L40" t="s">
        <v>32</v>
      </c>
      <c r="M40">
        <v>1</v>
      </c>
      <c r="N40">
        <v>7375</v>
      </c>
      <c r="O40">
        <v>55.5</v>
      </c>
      <c r="P40">
        <f>2500-650</f>
        <v>1850</v>
      </c>
      <c r="Q40" t="s">
        <v>455</v>
      </c>
      <c r="R40">
        <v>150</v>
      </c>
    </row>
    <row r="41" spans="1:19" x14ac:dyDescent="0.2">
      <c r="A41" t="s">
        <v>453</v>
      </c>
      <c r="B41" t="s">
        <v>583</v>
      </c>
      <c r="C41" s="1">
        <v>44733</v>
      </c>
      <c r="D41" s="2">
        <v>0.55347222222222225</v>
      </c>
      <c r="E41" s="1">
        <v>44734</v>
      </c>
      <c r="F41" s="2">
        <v>0.38750000000000001</v>
      </c>
      <c r="G41">
        <v>54.742725999999998</v>
      </c>
      <c r="H41">
        <v>123.37268</v>
      </c>
      <c r="I41" t="s">
        <v>23</v>
      </c>
      <c r="J41">
        <v>7</v>
      </c>
      <c r="L41" t="s">
        <v>32</v>
      </c>
      <c r="M41">
        <v>1</v>
      </c>
      <c r="N41">
        <v>7377</v>
      </c>
      <c r="O41">
        <v>65</v>
      </c>
      <c r="P41">
        <f>2200-650</f>
        <v>1550</v>
      </c>
      <c r="Q41" t="s">
        <v>455</v>
      </c>
      <c r="R41">
        <v>200</v>
      </c>
    </row>
    <row r="42" spans="1:19" x14ac:dyDescent="0.2">
      <c r="A42" t="s">
        <v>453</v>
      </c>
      <c r="B42" t="s">
        <v>597</v>
      </c>
      <c r="C42" s="1">
        <v>44733</v>
      </c>
      <c r="D42" s="2">
        <v>0.57986111111111105</v>
      </c>
      <c r="E42" s="1">
        <v>44734</v>
      </c>
      <c r="F42" s="2">
        <v>0.44305555555555554</v>
      </c>
      <c r="G42">
        <v>54.712654000000001</v>
      </c>
      <c r="H42">
        <v>123.375775</v>
      </c>
      <c r="I42" t="s">
        <v>23</v>
      </c>
      <c r="J42">
        <v>6</v>
      </c>
      <c r="K42" t="s">
        <v>402</v>
      </c>
      <c r="L42" t="s">
        <v>32</v>
      </c>
      <c r="M42">
        <v>1</v>
      </c>
      <c r="N42">
        <v>7381</v>
      </c>
      <c r="O42">
        <v>64.5</v>
      </c>
      <c r="P42">
        <f>2300-650</f>
        <v>1650</v>
      </c>
      <c r="Q42" t="s">
        <v>455</v>
      </c>
      <c r="R42">
        <v>200</v>
      </c>
    </row>
    <row r="43" spans="1:19" x14ac:dyDescent="0.2">
      <c r="A43" t="s">
        <v>453</v>
      </c>
      <c r="B43" t="s">
        <v>608</v>
      </c>
      <c r="C43" s="1">
        <v>44733</v>
      </c>
      <c r="D43" s="2">
        <v>0.60833333333333328</v>
      </c>
      <c r="E43" s="1">
        <v>44734</v>
      </c>
      <c r="F43" s="2">
        <v>0.47916666666666669</v>
      </c>
      <c r="G43">
        <v>54.718477</v>
      </c>
      <c r="H43">
        <v>123.349425</v>
      </c>
      <c r="I43" t="s">
        <v>23</v>
      </c>
      <c r="J43">
        <v>9.8000000000000007</v>
      </c>
      <c r="K43">
        <v>6.9</v>
      </c>
      <c r="L43" t="s">
        <v>32</v>
      </c>
      <c r="M43">
        <v>1</v>
      </c>
      <c r="N43">
        <v>7383</v>
      </c>
      <c r="O43">
        <v>72</v>
      </c>
      <c r="P43">
        <f>3200-650</f>
        <v>2550</v>
      </c>
      <c r="Q43" t="s">
        <v>455</v>
      </c>
      <c r="R43">
        <v>200</v>
      </c>
    </row>
    <row r="44" spans="1:19" x14ac:dyDescent="0.2">
      <c r="A44" t="s">
        <v>453</v>
      </c>
      <c r="B44" t="s">
        <v>626</v>
      </c>
      <c r="C44" s="1">
        <v>44734</v>
      </c>
      <c r="D44" s="2">
        <v>0.56388888888888888</v>
      </c>
      <c r="E44" s="1">
        <v>44735</v>
      </c>
      <c r="F44" s="2">
        <v>0.4826388888888889</v>
      </c>
      <c r="G44">
        <v>54.764015999999998</v>
      </c>
      <c r="H44">
        <v>123.27676</v>
      </c>
      <c r="I44" t="s">
        <v>23</v>
      </c>
      <c r="J44">
        <v>9.9</v>
      </c>
      <c r="L44" t="s">
        <v>32</v>
      </c>
      <c r="M44">
        <v>1</v>
      </c>
      <c r="N44">
        <v>7388</v>
      </c>
      <c r="O44">
        <v>66.5</v>
      </c>
      <c r="P44">
        <f>2950-650</f>
        <v>2300</v>
      </c>
      <c r="Q44" t="s">
        <v>455</v>
      </c>
      <c r="R44">
        <v>150</v>
      </c>
    </row>
    <row r="45" spans="1:19" x14ac:dyDescent="0.2">
      <c r="A45" t="s">
        <v>453</v>
      </c>
      <c r="B45" t="s">
        <v>628</v>
      </c>
      <c r="C45" s="1">
        <v>44734</v>
      </c>
      <c r="D45" s="2">
        <v>0.57500000000000007</v>
      </c>
      <c r="E45" s="1">
        <v>44735</v>
      </c>
      <c r="F45" s="2">
        <v>0.49374999999999997</v>
      </c>
      <c r="G45">
        <v>54.772438000000001</v>
      </c>
      <c r="H45">
        <v>123.264223</v>
      </c>
      <c r="I45" t="s">
        <v>23</v>
      </c>
      <c r="J45">
        <v>9.6</v>
      </c>
      <c r="L45" t="s">
        <v>32</v>
      </c>
      <c r="M45">
        <v>1</v>
      </c>
      <c r="N45">
        <v>7389</v>
      </c>
      <c r="O45">
        <v>62</v>
      </c>
      <c r="P45">
        <f>2050-650</f>
        <v>1400</v>
      </c>
      <c r="Q45" t="s">
        <v>455</v>
      </c>
      <c r="R45">
        <v>150</v>
      </c>
    </row>
    <row r="46" spans="1:19" x14ac:dyDescent="0.2">
      <c r="A46" t="s">
        <v>453</v>
      </c>
      <c r="B46" t="s">
        <v>633</v>
      </c>
      <c r="C46" s="1">
        <v>44734</v>
      </c>
      <c r="D46" s="2">
        <v>0.60277777777777775</v>
      </c>
      <c r="E46" s="1">
        <v>44735</v>
      </c>
      <c r="F46" s="2">
        <v>0.51874999999999993</v>
      </c>
      <c r="G46">
        <v>54.760801000000001</v>
      </c>
      <c r="H46">
        <v>123.284114</v>
      </c>
      <c r="I46" t="s">
        <v>23</v>
      </c>
      <c r="J46">
        <v>9.6999999999999993</v>
      </c>
      <c r="L46" t="s">
        <v>32</v>
      </c>
      <c r="M46">
        <v>1</v>
      </c>
      <c r="N46">
        <v>7390</v>
      </c>
      <c r="O46">
        <v>58</v>
      </c>
      <c r="P46">
        <f>1900-650</f>
        <v>1250</v>
      </c>
      <c r="Q46" t="s">
        <v>455</v>
      </c>
      <c r="R46">
        <v>200</v>
      </c>
    </row>
    <row r="47" spans="1:19" x14ac:dyDescent="0.2">
      <c r="A47" t="s">
        <v>453</v>
      </c>
      <c r="B47" t="s">
        <v>641</v>
      </c>
      <c r="C47" s="1">
        <v>44734</v>
      </c>
      <c r="D47" s="2">
        <v>0.625</v>
      </c>
      <c r="E47" s="1">
        <v>44735</v>
      </c>
      <c r="F47" s="2">
        <v>0.54513888888888895</v>
      </c>
      <c r="G47">
        <v>54.769882000000003</v>
      </c>
      <c r="H47">
        <v>123.33299</v>
      </c>
      <c r="I47" t="s">
        <v>23</v>
      </c>
      <c r="J47">
        <v>9.6999999999999993</v>
      </c>
      <c r="L47" t="s">
        <v>32</v>
      </c>
      <c r="M47">
        <v>1</v>
      </c>
      <c r="N47">
        <v>7393</v>
      </c>
      <c r="O47">
        <v>57</v>
      </c>
      <c r="P47">
        <f>1850-650</f>
        <v>1200</v>
      </c>
      <c r="Q47" t="s">
        <v>455</v>
      </c>
      <c r="R47">
        <v>200</v>
      </c>
    </row>
    <row r="48" spans="1:19" x14ac:dyDescent="0.2">
      <c r="A48" t="s">
        <v>453</v>
      </c>
      <c r="B48" t="s">
        <v>648</v>
      </c>
      <c r="C48" s="1">
        <v>44735</v>
      </c>
      <c r="D48" s="2">
        <v>0.59305555555555556</v>
      </c>
      <c r="E48" s="1">
        <v>44736</v>
      </c>
      <c r="F48" s="2">
        <v>0.3833333333333333</v>
      </c>
      <c r="G48">
        <v>54.789015999999997</v>
      </c>
      <c r="H48">
        <v>123.31654399999999</v>
      </c>
      <c r="I48" t="s">
        <v>23</v>
      </c>
      <c r="J48">
        <v>9</v>
      </c>
      <c r="L48" t="s">
        <v>32</v>
      </c>
      <c r="M48">
        <v>1</v>
      </c>
      <c r="N48">
        <v>7396</v>
      </c>
      <c r="O48">
        <v>70.5</v>
      </c>
      <c r="P48">
        <f>2950-650</f>
        <v>2300</v>
      </c>
      <c r="Q48" t="s">
        <v>455</v>
      </c>
      <c r="R48">
        <v>200</v>
      </c>
    </row>
    <row r="49" spans="1:19" x14ac:dyDescent="0.2">
      <c r="A49" t="s">
        <v>453</v>
      </c>
      <c r="B49" t="s">
        <v>655</v>
      </c>
      <c r="C49" s="1">
        <v>44735</v>
      </c>
      <c r="D49" s="2">
        <v>0.62291666666666667</v>
      </c>
      <c r="E49" s="1">
        <v>44736</v>
      </c>
      <c r="F49" s="2">
        <v>0.41180555555555554</v>
      </c>
      <c r="G49">
        <v>54.801318000000002</v>
      </c>
      <c r="H49">
        <v>123.32736199999999</v>
      </c>
      <c r="I49" t="s">
        <v>23</v>
      </c>
      <c r="J49">
        <v>7.6</v>
      </c>
      <c r="L49" t="s">
        <v>32</v>
      </c>
      <c r="M49">
        <v>1</v>
      </c>
      <c r="N49">
        <v>7398</v>
      </c>
      <c r="O49">
        <v>56.5</v>
      </c>
      <c r="P49">
        <f>1950-650</f>
        <v>1300</v>
      </c>
      <c r="Q49" t="s">
        <v>455</v>
      </c>
      <c r="R49">
        <v>250</v>
      </c>
    </row>
    <row r="50" spans="1:19" x14ac:dyDescent="0.2">
      <c r="A50" t="s">
        <v>453</v>
      </c>
      <c r="B50" t="s">
        <v>664</v>
      </c>
      <c r="C50" s="1">
        <v>44858</v>
      </c>
      <c r="D50" s="2">
        <v>0.62986111111111109</v>
      </c>
      <c r="E50" s="1">
        <v>44859</v>
      </c>
      <c r="F50" s="2">
        <v>0.3923611111111111</v>
      </c>
      <c r="G50">
        <v>54.764274999999998</v>
      </c>
      <c r="H50">
        <v>123.37111</v>
      </c>
      <c r="I50" t="s">
        <v>23</v>
      </c>
      <c r="J50">
        <v>6.5</v>
      </c>
      <c r="L50" t="s">
        <v>32</v>
      </c>
      <c r="M50">
        <v>1</v>
      </c>
      <c r="N50">
        <v>7400</v>
      </c>
      <c r="O50">
        <v>92.1</v>
      </c>
      <c r="P50">
        <v>5500</v>
      </c>
      <c r="Q50" t="s">
        <v>455</v>
      </c>
      <c r="R50">
        <v>100</v>
      </c>
    </row>
    <row r="51" spans="1:19" x14ac:dyDescent="0.2">
      <c r="A51" t="s">
        <v>453</v>
      </c>
      <c r="B51" t="s">
        <v>672</v>
      </c>
      <c r="C51" s="1">
        <v>44858</v>
      </c>
      <c r="D51" s="2">
        <v>0.66875000000000007</v>
      </c>
      <c r="E51" s="1">
        <v>44859</v>
      </c>
      <c r="F51" s="2">
        <v>0.43402777777777773</v>
      </c>
      <c r="G51">
        <v>54.770209000000001</v>
      </c>
      <c r="H51">
        <v>123.40379</v>
      </c>
      <c r="I51" t="s">
        <v>23</v>
      </c>
      <c r="J51">
        <v>7.7</v>
      </c>
      <c r="L51" t="s">
        <v>32</v>
      </c>
      <c r="M51">
        <v>1</v>
      </c>
      <c r="N51">
        <v>7401</v>
      </c>
      <c r="O51">
        <v>81.2</v>
      </c>
      <c r="P51">
        <v>4100</v>
      </c>
      <c r="Q51" t="s">
        <v>455</v>
      </c>
      <c r="R51">
        <v>100</v>
      </c>
    </row>
    <row r="52" spans="1:19" x14ac:dyDescent="0.2">
      <c r="A52" t="s">
        <v>453</v>
      </c>
      <c r="B52" t="s">
        <v>680</v>
      </c>
      <c r="C52" s="1">
        <v>44858</v>
      </c>
      <c r="D52" s="2">
        <v>0.7104166666666667</v>
      </c>
      <c r="E52" s="1">
        <v>44859</v>
      </c>
      <c r="F52" s="2">
        <v>0.4861111111111111</v>
      </c>
      <c r="G52">
        <v>54.776577000000003</v>
      </c>
      <c r="H52">
        <v>123.385469</v>
      </c>
      <c r="I52" t="s">
        <v>23</v>
      </c>
      <c r="J52">
        <v>9.8000000000000007</v>
      </c>
      <c r="L52" t="s">
        <v>32</v>
      </c>
      <c r="M52">
        <v>1</v>
      </c>
      <c r="N52">
        <v>7402</v>
      </c>
      <c r="O52">
        <v>71.3</v>
      </c>
      <c r="P52">
        <v>2600</v>
      </c>
      <c r="Q52" t="s">
        <v>455</v>
      </c>
      <c r="R52">
        <v>100</v>
      </c>
    </row>
    <row r="53" spans="1:19" x14ac:dyDescent="0.2">
      <c r="A53" t="s">
        <v>453</v>
      </c>
      <c r="B53" t="s">
        <v>694</v>
      </c>
      <c r="C53" s="1">
        <v>44859</v>
      </c>
      <c r="D53" s="2">
        <v>0.55486111111111114</v>
      </c>
      <c r="E53" s="1">
        <v>44860</v>
      </c>
      <c r="F53" s="2">
        <v>0.39513888888888887</v>
      </c>
      <c r="G53">
        <v>54.718691</v>
      </c>
      <c r="H53">
        <v>123.363258</v>
      </c>
      <c r="I53" t="s">
        <v>23</v>
      </c>
      <c r="J53">
        <v>3.3</v>
      </c>
      <c r="L53" t="s">
        <v>32</v>
      </c>
      <c r="M53">
        <v>1</v>
      </c>
      <c r="N53">
        <v>7404</v>
      </c>
      <c r="O53">
        <v>88.6</v>
      </c>
      <c r="P53">
        <v>4500</v>
      </c>
      <c r="Q53" t="s">
        <v>415</v>
      </c>
      <c r="R53">
        <v>150</v>
      </c>
    </row>
    <row r="54" spans="1:19" x14ac:dyDescent="0.2">
      <c r="A54" t="s">
        <v>453</v>
      </c>
      <c r="B54" t="s">
        <v>732</v>
      </c>
      <c r="C54" s="1">
        <v>44860</v>
      </c>
      <c r="D54" s="2">
        <v>0.56111111111111112</v>
      </c>
      <c r="E54" s="1">
        <v>44861</v>
      </c>
      <c r="F54" s="2">
        <v>0.51458333333333328</v>
      </c>
      <c r="G54">
        <v>54.768411</v>
      </c>
      <c r="H54">
        <v>123.32822</v>
      </c>
      <c r="I54" t="s">
        <v>23</v>
      </c>
      <c r="J54">
        <v>8.5</v>
      </c>
      <c r="L54" t="s">
        <v>32</v>
      </c>
      <c r="M54">
        <v>1</v>
      </c>
      <c r="N54">
        <v>7406</v>
      </c>
      <c r="O54" s="8">
        <v>74.900000000000006</v>
      </c>
      <c r="P54" s="8">
        <v>2700</v>
      </c>
      <c r="Q54" t="s">
        <v>415</v>
      </c>
      <c r="R54">
        <v>150</v>
      </c>
    </row>
    <row r="55" spans="1:19" x14ac:dyDescent="0.2">
      <c r="A55" t="s">
        <v>453</v>
      </c>
      <c r="B55" t="s">
        <v>742</v>
      </c>
      <c r="C55" s="1">
        <v>44861</v>
      </c>
      <c r="D55" s="2">
        <v>0.59861111111111109</v>
      </c>
      <c r="E55" s="1">
        <v>44862</v>
      </c>
      <c r="F55" s="2">
        <v>0.36944444444444446</v>
      </c>
      <c r="G55">
        <v>54.793770000000002</v>
      </c>
      <c r="H55">
        <v>123.36605</v>
      </c>
      <c r="I55" t="s">
        <v>23</v>
      </c>
      <c r="J55">
        <v>2.9</v>
      </c>
      <c r="L55" t="s">
        <v>32</v>
      </c>
      <c r="M55">
        <v>1</v>
      </c>
      <c r="N55">
        <v>7407</v>
      </c>
      <c r="O55">
        <v>56.2</v>
      </c>
      <c r="P55">
        <v>950</v>
      </c>
      <c r="Q55" t="s">
        <v>734</v>
      </c>
      <c r="R55">
        <v>150</v>
      </c>
    </row>
    <row r="56" spans="1:19" x14ac:dyDescent="0.2">
      <c r="A56" t="s">
        <v>453</v>
      </c>
      <c r="B56" t="s">
        <v>746</v>
      </c>
      <c r="C56" s="1">
        <v>44861</v>
      </c>
      <c r="D56" s="2">
        <v>0.62152777777777779</v>
      </c>
      <c r="E56" s="1">
        <v>44862</v>
      </c>
      <c r="F56" s="2">
        <v>0.43055555555555558</v>
      </c>
      <c r="G56">
        <v>54.798949999999998</v>
      </c>
      <c r="H56">
        <v>123.328242</v>
      </c>
      <c r="I56" t="s">
        <v>23</v>
      </c>
      <c r="J56">
        <v>5.3</v>
      </c>
      <c r="L56" t="s">
        <v>32</v>
      </c>
      <c r="M56">
        <v>1</v>
      </c>
      <c r="N56">
        <v>7410</v>
      </c>
      <c r="O56">
        <v>71.3</v>
      </c>
      <c r="P56">
        <v>2350</v>
      </c>
      <c r="Q56" t="s">
        <v>734</v>
      </c>
      <c r="R56">
        <v>150</v>
      </c>
    </row>
    <row r="57" spans="1:19" x14ac:dyDescent="0.2">
      <c r="A57" t="s">
        <v>387</v>
      </c>
      <c r="B57" t="s">
        <v>433</v>
      </c>
      <c r="C57" s="1">
        <v>44711</v>
      </c>
      <c r="D57" s="2">
        <v>0.52083333333333337</v>
      </c>
      <c r="E57" s="1">
        <v>44712</v>
      </c>
      <c r="F57" s="2">
        <v>0.49652777777777773</v>
      </c>
      <c r="G57">
        <v>53.881039999999999</v>
      </c>
      <c r="H57">
        <v>123.470758</v>
      </c>
      <c r="I57" t="s">
        <v>23</v>
      </c>
      <c r="J57">
        <v>8</v>
      </c>
      <c r="L57" t="s">
        <v>32</v>
      </c>
      <c r="M57">
        <v>1</v>
      </c>
      <c r="N57">
        <v>7411</v>
      </c>
      <c r="O57">
        <v>61.5</v>
      </c>
      <c r="P57">
        <v>1500</v>
      </c>
      <c r="Q57" t="s">
        <v>358</v>
      </c>
      <c r="R57">
        <v>100</v>
      </c>
      <c r="S57" t="s">
        <v>434</v>
      </c>
    </row>
    <row r="58" spans="1:19" x14ac:dyDescent="0.2">
      <c r="A58" t="s">
        <v>453</v>
      </c>
      <c r="B58" t="s">
        <v>503</v>
      </c>
      <c r="C58" s="1">
        <v>44712</v>
      </c>
      <c r="D58" s="2">
        <v>0.62708333333333333</v>
      </c>
      <c r="E58" s="1">
        <v>44713</v>
      </c>
      <c r="F58" s="2">
        <v>0.47569444444444442</v>
      </c>
      <c r="G58">
        <v>54.719234</v>
      </c>
      <c r="H58">
        <v>123.358103</v>
      </c>
      <c r="I58" t="s">
        <v>23</v>
      </c>
      <c r="J58">
        <v>3.1</v>
      </c>
      <c r="L58" t="s">
        <v>32</v>
      </c>
      <c r="M58">
        <v>1</v>
      </c>
      <c r="N58">
        <v>7461</v>
      </c>
      <c r="O58">
        <v>54</v>
      </c>
      <c r="P58">
        <f>1550-650</f>
        <v>900</v>
      </c>
      <c r="Q58" t="s">
        <v>455</v>
      </c>
      <c r="R58">
        <v>250</v>
      </c>
      <c r="S58" t="s">
        <v>484</v>
      </c>
    </row>
    <row r="59" spans="1:19" x14ac:dyDescent="0.2">
      <c r="A59" t="s">
        <v>453</v>
      </c>
      <c r="B59" t="s">
        <v>506</v>
      </c>
      <c r="C59" s="1">
        <v>44712</v>
      </c>
      <c r="D59" s="2">
        <v>0.64513888888888882</v>
      </c>
      <c r="E59" s="1">
        <v>44713</v>
      </c>
      <c r="F59" s="2">
        <v>0.49722222222222223</v>
      </c>
      <c r="G59">
        <v>54.718530999999999</v>
      </c>
      <c r="H59">
        <v>123.376053</v>
      </c>
      <c r="I59" t="s">
        <v>23</v>
      </c>
      <c r="J59">
        <v>9.1999999999999993</v>
      </c>
      <c r="L59" t="s">
        <v>32</v>
      </c>
      <c r="M59">
        <v>1</v>
      </c>
      <c r="N59">
        <v>7462</v>
      </c>
      <c r="O59">
        <v>79</v>
      </c>
      <c r="P59" t="s">
        <v>507</v>
      </c>
      <c r="Q59" t="s">
        <v>455</v>
      </c>
      <c r="R59">
        <v>200</v>
      </c>
      <c r="S59" t="s">
        <v>484</v>
      </c>
    </row>
    <row r="60" spans="1:19" x14ac:dyDescent="0.2">
      <c r="A60" t="s">
        <v>453</v>
      </c>
      <c r="B60" t="s">
        <v>520</v>
      </c>
      <c r="C60" s="1">
        <v>44713</v>
      </c>
      <c r="D60" s="2">
        <v>0.56944444444444442</v>
      </c>
      <c r="E60" s="1">
        <v>44714</v>
      </c>
      <c r="F60" s="2">
        <v>0.45208333333333334</v>
      </c>
      <c r="G60">
        <v>54.766227000000001</v>
      </c>
      <c r="H60">
        <v>123.278965</v>
      </c>
      <c r="I60" t="s">
        <v>23</v>
      </c>
      <c r="J60">
        <v>9.5</v>
      </c>
      <c r="L60" t="s">
        <v>32</v>
      </c>
      <c r="M60">
        <v>1</v>
      </c>
      <c r="N60">
        <v>7464</v>
      </c>
      <c r="O60">
        <v>87.5</v>
      </c>
      <c r="P60">
        <f>4000-650</f>
        <v>3350</v>
      </c>
      <c r="Q60" t="s">
        <v>455</v>
      </c>
      <c r="R60">
        <v>150</v>
      </c>
    </row>
    <row r="61" spans="1:19" x14ac:dyDescent="0.2">
      <c r="A61" t="s">
        <v>453</v>
      </c>
      <c r="B61" t="s">
        <v>523</v>
      </c>
      <c r="C61" s="1">
        <v>44713</v>
      </c>
      <c r="D61" s="2">
        <v>0.58472222222222225</v>
      </c>
      <c r="E61" s="1">
        <v>44714</v>
      </c>
      <c r="F61" s="2">
        <v>0.46666666666666662</v>
      </c>
      <c r="G61">
        <v>54.786090999999999</v>
      </c>
      <c r="H61">
        <v>123.246712</v>
      </c>
      <c r="I61" t="s">
        <v>23</v>
      </c>
      <c r="J61">
        <v>4.0999999999999996</v>
      </c>
      <c r="L61" t="s">
        <v>32</v>
      </c>
      <c r="M61">
        <v>1</v>
      </c>
      <c r="N61">
        <v>7465</v>
      </c>
      <c r="O61">
        <v>70.5</v>
      </c>
      <c r="P61">
        <f>3500-650</f>
        <v>2850</v>
      </c>
      <c r="Q61" t="s">
        <v>455</v>
      </c>
      <c r="R61">
        <v>120</v>
      </c>
    </row>
    <row r="62" spans="1:19" x14ac:dyDescent="0.2">
      <c r="A62" t="s">
        <v>453</v>
      </c>
      <c r="B62" t="s">
        <v>527</v>
      </c>
      <c r="C62" s="1">
        <v>44713</v>
      </c>
      <c r="D62" s="2">
        <v>0.59930555555555554</v>
      </c>
      <c r="E62" s="1">
        <v>44714</v>
      </c>
      <c r="F62" s="2">
        <v>0.49027777777777781</v>
      </c>
      <c r="G62">
        <v>54.762388000000001</v>
      </c>
      <c r="H62">
        <v>123.29245899999999</v>
      </c>
      <c r="I62" t="s">
        <v>23</v>
      </c>
      <c r="J62">
        <v>8.1999999999999993</v>
      </c>
      <c r="L62" t="s">
        <v>32</v>
      </c>
      <c r="M62">
        <v>1</v>
      </c>
      <c r="N62">
        <v>7466</v>
      </c>
      <c r="O62">
        <v>69</v>
      </c>
      <c r="P62">
        <f>2250-650</f>
        <v>1600</v>
      </c>
      <c r="Q62" t="s">
        <v>455</v>
      </c>
      <c r="R62">
        <v>120</v>
      </c>
    </row>
    <row r="63" spans="1:19" x14ac:dyDescent="0.2">
      <c r="A63" t="s">
        <v>453</v>
      </c>
      <c r="B63" t="s">
        <v>550</v>
      </c>
      <c r="C63" s="1">
        <v>44714</v>
      </c>
      <c r="D63" s="2">
        <v>0.59236111111111112</v>
      </c>
      <c r="E63" s="1">
        <v>44715</v>
      </c>
      <c r="F63" s="2">
        <v>0.39374999999999999</v>
      </c>
      <c r="G63">
        <v>54.783098000000003</v>
      </c>
      <c r="H63">
        <v>123.32347900000001</v>
      </c>
      <c r="I63" t="s">
        <v>23</v>
      </c>
      <c r="J63">
        <v>10.3</v>
      </c>
      <c r="L63" t="s">
        <v>32</v>
      </c>
      <c r="M63">
        <v>1</v>
      </c>
      <c r="N63">
        <v>7467</v>
      </c>
      <c r="O63">
        <v>74</v>
      </c>
      <c r="P63">
        <f>3500-650</f>
        <v>2850</v>
      </c>
      <c r="Q63" t="s">
        <v>455</v>
      </c>
      <c r="R63">
        <v>150</v>
      </c>
    </row>
    <row r="64" spans="1:19" x14ac:dyDescent="0.2">
      <c r="A64" t="s">
        <v>453</v>
      </c>
      <c r="B64" t="s">
        <v>537</v>
      </c>
      <c r="C64" s="1">
        <v>44714</v>
      </c>
      <c r="D64" s="2">
        <v>0.63611111111111118</v>
      </c>
      <c r="E64" s="1">
        <v>44715</v>
      </c>
      <c r="F64" s="2">
        <v>0.4381944444444445</v>
      </c>
      <c r="G64">
        <v>54.806576999999997</v>
      </c>
      <c r="H64">
        <v>123.339849</v>
      </c>
      <c r="I64" t="s">
        <v>23</v>
      </c>
      <c r="J64">
        <v>9.6</v>
      </c>
      <c r="L64" t="s">
        <v>32</v>
      </c>
      <c r="M64">
        <v>1</v>
      </c>
      <c r="N64">
        <v>7469</v>
      </c>
      <c r="O64">
        <v>60</v>
      </c>
      <c r="P64">
        <f>2050-650</f>
        <v>1400</v>
      </c>
      <c r="Q64" t="s">
        <v>455</v>
      </c>
      <c r="R64">
        <v>150</v>
      </c>
    </row>
    <row r="65" spans="1:18" x14ac:dyDescent="0.2">
      <c r="A65" t="s">
        <v>19</v>
      </c>
      <c r="B65" t="s">
        <v>354</v>
      </c>
      <c r="C65" s="1">
        <v>44718</v>
      </c>
      <c r="D65" s="2">
        <v>0.72152777777777777</v>
      </c>
      <c r="E65" s="1">
        <v>44719</v>
      </c>
      <c r="F65" s="2">
        <v>0.3923611111111111</v>
      </c>
      <c r="G65">
        <v>54.073860000000003</v>
      </c>
      <c r="H65">
        <v>124.72346400000001</v>
      </c>
      <c r="I65" t="s">
        <v>23</v>
      </c>
      <c r="J65">
        <v>7.1</v>
      </c>
      <c r="L65" t="s">
        <v>32</v>
      </c>
      <c r="M65">
        <v>1</v>
      </c>
      <c r="N65" s="4">
        <v>7470</v>
      </c>
      <c r="O65" s="4"/>
      <c r="P65" s="4"/>
      <c r="Q65" t="s">
        <v>25</v>
      </c>
      <c r="R65">
        <v>190</v>
      </c>
    </row>
    <row r="66" spans="1:18" x14ac:dyDescent="0.2">
      <c r="A66" t="s">
        <v>19</v>
      </c>
      <c r="B66" t="s">
        <v>83</v>
      </c>
      <c r="C66" s="1">
        <v>44718</v>
      </c>
      <c r="D66" s="2">
        <v>0.73888888888888893</v>
      </c>
      <c r="E66" s="1">
        <v>44719</v>
      </c>
      <c r="F66" s="2">
        <v>0.45763888888888887</v>
      </c>
      <c r="G66" s="3" t="s">
        <v>84</v>
      </c>
      <c r="H66" s="3" t="s">
        <v>85</v>
      </c>
      <c r="I66" t="s">
        <v>23</v>
      </c>
      <c r="J66">
        <v>8.9</v>
      </c>
      <c r="L66" t="s">
        <v>32</v>
      </c>
      <c r="M66">
        <v>1</v>
      </c>
      <c r="N66">
        <v>7471</v>
      </c>
      <c r="Q66" t="s">
        <v>25</v>
      </c>
      <c r="R66">
        <v>120</v>
      </c>
    </row>
    <row r="67" spans="1:18" x14ac:dyDescent="0.2">
      <c r="A67" t="s">
        <v>19</v>
      </c>
      <c r="B67" t="s">
        <v>345</v>
      </c>
      <c r="C67" s="1">
        <v>44718</v>
      </c>
      <c r="D67" s="2">
        <v>0.77847222222222223</v>
      </c>
      <c r="E67" s="1">
        <v>44719</v>
      </c>
      <c r="F67" s="2">
        <v>0.49305555555555558</v>
      </c>
      <c r="G67">
        <v>54.102035000000001</v>
      </c>
      <c r="H67">
        <v>124.713939</v>
      </c>
      <c r="I67" t="s">
        <v>23</v>
      </c>
      <c r="J67">
        <v>9.4</v>
      </c>
      <c r="L67" t="s">
        <v>32</v>
      </c>
      <c r="M67">
        <v>1</v>
      </c>
      <c r="N67" s="4">
        <v>7474</v>
      </c>
      <c r="O67" s="4"/>
      <c r="P67" s="4"/>
      <c r="Q67" t="s">
        <v>25</v>
      </c>
      <c r="R67">
        <v>120</v>
      </c>
    </row>
    <row r="68" spans="1:18" x14ac:dyDescent="0.2">
      <c r="A68" t="s">
        <v>19</v>
      </c>
      <c r="B68" t="s">
        <v>370</v>
      </c>
      <c r="C68" s="1">
        <v>44720</v>
      </c>
      <c r="D68" s="2">
        <v>0.56666666666666665</v>
      </c>
      <c r="E68" s="1">
        <v>44722</v>
      </c>
      <c r="F68" s="2">
        <v>0.36249999999999999</v>
      </c>
      <c r="G68">
        <v>54.099859000000002</v>
      </c>
      <c r="H68">
        <v>124.650149</v>
      </c>
      <c r="I68" t="s">
        <v>23</v>
      </c>
      <c r="J68">
        <v>6.9</v>
      </c>
      <c r="L68" t="s">
        <v>32</v>
      </c>
      <c r="M68">
        <v>1</v>
      </c>
      <c r="N68">
        <v>7475</v>
      </c>
      <c r="Q68" t="s">
        <v>358</v>
      </c>
      <c r="R68">
        <v>150</v>
      </c>
    </row>
    <row r="69" spans="1:18" x14ac:dyDescent="0.2">
      <c r="A69" t="s">
        <v>19</v>
      </c>
      <c r="B69" t="s">
        <v>372</v>
      </c>
      <c r="C69" s="1">
        <v>44720</v>
      </c>
      <c r="D69" s="2">
        <v>0.65208333333333335</v>
      </c>
      <c r="E69" s="1">
        <v>44722</v>
      </c>
      <c r="F69" s="2">
        <v>0.51041666666666663</v>
      </c>
      <c r="G69">
        <v>54.069746000000002</v>
      </c>
      <c r="H69">
        <v>124.66012000000001</v>
      </c>
      <c r="I69" t="s">
        <v>23</v>
      </c>
      <c r="J69">
        <v>9.6999999999999993</v>
      </c>
      <c r="L69" t="s">
        <v>32</v>
      </c>
      <c r="M69">
        <v>1</v>
      </c>
      <c r="N69">
        <v>7476</v>
      </c>
      <c r="Q69" t="s">
        <v>358</v>
      </c>
      <c r="R69">
        <v>100</v>
      </c>
    </row>
    <row r="70" spans="1:18" x14ac:dyDescent="0.2">
      <c r="A70" t="s">
        <v>19</v>
      </c>
      <c r="B70" t="s">
        <v>371</v>
      </c>
      <c r="C70" s="1">
        <v>44720</v>
      </c>
      <c r="D70" s="2">
        <v>0.59722222222222221</v>
      </c>
      <c r="E70" s="1">
        <v>44722</v>
      </c>
      <c r="F70" s="2">
        <v>0.53888888888888886</v>
      </c>
      <c r="G70">
        <v>54.059463999999998</v>
      </c>
      <c r="H70">
        <v>124.627634</v>
      </c>
      <c r="I70" t="s">
        <v>23</v>
      </c>
      <c r="J70">
        <v>8.1</v>
      </c>
      <c r="L70" t="s">
        <v>32</v>
      </c>
      <c r="M70">
        <v>1</v>
      </c>
      <c r="N70">
        <v>7479</v>
      </c>
      <c r="Q70" t="s">
        <v>358</v>
      </c>
      <c r="R70">
        <v>170</v>
      </c>
    </row>
    <row r="71" spans="1:18" x14ac:dyDescent="0.2">
      <c r="A71" t="s">
        <v>19</v>
      </c>
      <c r="B71" t="s">
        <v>377</v>
      </c>
      <c r="C71" s="1">
        <v>44722</v>
      </c>
      <c r="D71" s="2">
        <v>0.46597222222222223</v>
      </c>
      <c r="E71" s="1">
        <v>44724</v>
      </c>
      <c r="F71" s="2">
        <v>0.49861111111111112</v>
      </c>
      <c r="G71">
        <v>54.101275999999999</v>
      </c>
      <c r="H71">
        <v>124.661967</v>
      </c>
      <c r="I71" t="s">
        <v>23</v>
      </c>
      <c r="J71">
        <v>6.6</v>
      </c>
      <c r="L71" t="s">
        <v>32</v>
      </c>
      <c r="M71">
        <v>1</v>
      </c>
      <c r="N71">
        <v>7481</v>
      </c>
      <c r="Q71" t="s">
        <v>358</v>
      </c>
      <c r="R71">
        <v>120</v>
      </c>
    </row>
    <row r="72" spans="1:18" x14ac:dyDescent="0.2">
      <c r="A72" t="s">
        <v>453</v>
      </c>
      <c r="B72" t="s">
        <v>561</v>
      </c>
      <c r="C72" s="1">
        <v>44732</v>
      </c>
      <c r="D72" s="2">
        <v>0.65763888888888888</v>
      </c>
      <c r="E72" s="1">
        <v>44733</v>
      </c>
      <c r="F72" s="2">
        <v>0.40763888888888888</v>
      </c>
      <c r="G72">
        <v>54.759337000000002</v>
      </c>
      <c r="H72">
        <v>123.385468</v>
      </c>
      <c r="I72" t="s">
        <v>23</v>
      </c>
      <c r="J72">
        <v>6.3</v>
      </c>
      <c r="L72" t="s">
        <v>32</v>
      </c>
      <c r="M72">
        <v>1</v>
      </c>
      <c r="N72">
        <v>7483</v>
      </c>
      <c r="O72">
        <v>75.5</v>
      </c>
      <c r="P72">
        <f>3850-650</f>
        <v>3200</v>
      </c>
      <c r="Q72" t="s">
        <v>455</v>
      </c>
      <c r="R72">
        <v>150</v>
      </c>
    </row>
    <row r="73" spans="1:18" x14ac:dyDescent="0.2">
      <c r="A73" t="s">
        <v>453</v>
      </c>
      <c r="B73" t="s">
        <v>571</v>
      </c>
      <c r="C73" s="1">
        <v>44732</v>
      </c>
      <c r="D73" s="2">
        <v>0.73958333333333337</v>
      </c>
      <c r="E73" s="1">
        <v>44733</v>
      </c>
      <c r="F73" s="2">
        <v>0.46527777777777773</v>
      </c>
      <c r="G73">
        <v>54.775590999999999</v>
      </c>
      <c r="H73">
        <v>123.38560200000001</v>
      </c>
      <c r="I73" t="s">
        <v>23</v>
      </c>
      <c r="J73">
        <v>9.5</v>
      </c>
      <c r="L73" t="s">
        <v>32</v>
      </c>
      <c r="M73">
        <v>1</v>
      </c>
      <c r="N73">
        <v>7484</v>
      </c>
      <c r="O73">
        <v>56</v>
      </c>
      <c r="P73">
        <f>1650-650</f>
        <v>1000</v>
      </c>
      <c r="Q73" t="s">
        <v>455</v>
      </c>
      <c r="R73">
        <v>150</v>
      </c>
    </row>
    <row r="74" spans="1:18" x14ac:dyDescent="0.2">
      <c r="A74" t="s">
        <v>453</v>
      </c>
      <c r="B74" t="s">
        <v>582</v>
      </c>
      <c r="C74" s="1">
        <v>44733</v>
      </c>
      <c r="D74" s="2">
        <v>0.53888888888888886</v>
      </c>
      <c r="E74" s="1">
        <v>44734</v>
      </c>
      <c r="F74" s="2">
        <v>0.38055555555555554</v>
      </c>
      <c r="G74">
        <v>54.748542</v>
      </c>
      <c r="H74">
        <v>123.364784</v>
      </c>
      <c r="I74" t="s">
        <v>23</v>
      </c>
      <c r="J74">
        <v>9.9</v>
      </c>
      <c r="L74" t="s">
        <v>32</v>
      </c>
      <c r="M74">
        <v>1</v>
      </c>
      <c r="N74">
        <v>7561</v>
      </c>
      <c r="O74">
        <v>60.5</v>
      </c>
      <c r="P74">
        <f>1800-650</f>
        <v>1150</v>
      </c>
      <c r="Q74" t="s">
        <v>455</v>
      </c>
      <c r="R74">
        <v>200</v>
      </c>
    </row>
    <row r="75" spans="1:18" x14ac:dyDescent="0.2">
      <c r="A75" t="s">
        <v>453</v>
      </c>
      <c r="B75" t="s">
        <v>596</v>
      </c>
      <c r="C75" s="1">
        <v>44733</v>
      </c>
      <c r="D75" s="2">
        <v>0.57638888888888895</v>
      </c>
      <c r="E75" s="1">
        <v>44734</v>
      </c>
      <c r="F75" s="2">
        <v>0.42986111111111108</v>
      </c>
      <c r="G75">
        <v>54.715639000000003</v>
      </c>
      <c r="H75">
        <v>123.380364</v>
      </c>
      <c r="I75" t="s">
        <v>23</v>
      </c>
      <c r="J75">
        <v>8.3000000000000007</v>
      </c>
      <c r="K75">
        <v>7.5</v>
      </c>
      <c r="L75" t="s">
        <v>32</v>
      </c>
      <c r="M75">
        <v>1</v>
      </c>
      <c r="N75">
        <v>7567</v>
      </c>
      <c r="O75">
        <v>65</v>
      </c>
      <c r="P75">
        <f>2600-650</f>
        <v>1950</v>
      </c>
      <c r="Q75" t="s">
        <v>455</v>
      </c>
      <c r="R75">
        <v>200</v>
      </c>
    </row>
    <row r="76" spans="1:18" x14ac:dyDescent="0.2">
      <c r="A76" t="s">
        <v>453</v>
      </c>
      <c r="B76" t="s">
        <v>610</v>
      </c>
      <c r="C76" s="1">
        <v>44733</v>
      </c>
      <c r="D76" s="2">
        <v>0.61736111111111114</v>
      </c>
      <c r="E76" s="1">
        <v>44734</v>
      </c>
      <c r="F76" s="2">
        <v>0.49236111111111108</v>
      </c>
      <c r="G76">
        <v>54.726644999999998</v>
      </c>
      <c r="H76">
        <v>123.32418699999999</v>
      </c>
      <c r="I76" t="s">
        <v>23</v>
      </c>
      <c r="J76">
        <v>9.4</v>
      </c>
      <c r="L76" t="s">
        <v>32</v>
      </c>
      <c r="M76">
        <v>1</v>
      </c>
      <c r="N76">
        <v>7570</v>
      </c>
      <c r="O76">
        <v>60</v>
      </c>
      <c r="P76">
        <f>1700-650</f>
        <v>1050</v>
      </c>
      <c r="Q76" t="s">
        <v>455</v>
      </c>
      <c r="R76">
        <v>200</v>
      </c>
    </row>
    <row r="77" spans="1:18" x14ac:dyDescent="0.2">
      <c r="A77" t="s">
        <v>453</v>
      </c>
      <c r="B77" t="s">
        <v>618</v>
      </c>
      <c r="C77" s="1">
        <v>44734</v>
      </c>
      <c r="D77" s="2">
        <v>0.54652777777777783</v>
      </c>
      <c r="E77" s="1">
        <v>44735</v>
      </c>
      <c r="F77" s="2">
        <v>0.42777777777777781</v>
      </c>
      <c r="G77">
        <v>54.746853999999999</v>
      </c>
      <c r="H77">
        <v>123.27585999999999</v>
      </c>
      <c r="I77" t="s">
        <v>23</v>
      </c>
      <c r="J77">
        <v>10.199999999999999</v>
      </c>
      <c r="L77" t="s">
        <v>32</v>
      </c>
      <c r="M77">
        <v>1</v>
      </c>
      <c r="N77">
        <v>7572</v>
      </c>
      <c r="O77">
        <v>58.5</v>
      </c>
      <c r="P77">
        <f>2300-650</f>
        <v>1650</v>
      </c>
      <c r="Q77" t="s">
        <v>455</v>
      </c>
      <c r="R77">
        <v>150</v>
      </c>
    </row>
    <row r="78" spans="1:18" x14ac:dyDescent="0.2">
      <c r="A78" t="s">
        <v>453</v>
      </c>
      <c r="B78" t="s">
        <v>627</v>
      </c>
      <c r="C78" s="1">
        <v>44734</v>
      </c>
      <c r="D78" s="2">
        <v>0.56944444444444442</v>
      </c>
      <c r="E78" s="1">
        <v>44735</v>
      </c>
      <c r="F78" s="2">
        <v>0.48749999999999999</v>
      </c>
      <c r="G78">
        <v>54.766416</v>
      </c>
      <c r="H78">
        <v>123.254336</v>
      </c>
      <c r="I78" t="s">
        <v>23</v>
      </c>
      <c r="J78">
        <v>8.5</v>
      </c>
      <c r="L78" t="s">
        <v>32</v>
      </c>
      <c r="M78">
        <v>1</v>
      </c>
      <c r="N78">
        <v>7577</v>
      </c>
      <c r="O78">
        <v>51.5</v>
      </c>
      <c r="P78">
        <f>1550-650</f>
        <v>900</v>
      </c>
      <c r="Q78" t="s">
        <v>455</v>
      </c>
      <c r="R78">
        <v>150</v>
      </c>
    </row>
    <row r="79" spans="1:18" x14ac:dyDescent="0.2">
      <c r="A79" t="s">
        <v>453</v>
      </c>
      <c r="B79" t="s">
        <v>632</v>
      </c>
      <c r="C79" s="1">
        <v>44734</v>
      </c>
      <c r="D79" s="2">
        <v>0.59791666666666665</v>
      </c>
      <c r="E79" s="1">
        <v>44735</v>
      </c>
      <c r="F79" s="2">
        <v>0.51041666666666663</v>
      </c>
      <c r="G79">
        <v>54.764004</v>
      </c>
      <c r="H79">
        <v>123.273985</v>
      </c>
      <c r="I79" t="s">
        <v>23</v>
      </c>
      <c r="J79">
        <v>9.5</v>
      </c>
      <c r="L79" t="s">
        <v>32</v>
      </c>
      <c r="M79">
        <v>1</v>
      </c>
      <c r="N79">
        <v>7578</v>
      </c>
      <c r="O79">
        <v>59.5</v>
      </c>
      <c r="P79">
        <f>2000-650</f>
        <v>1350</v>
      </c>
      <c r="Q79" t="s">
        <v>455</v>
      </c>
      <c r="R79">
        <v>150</v>
      </c>
    </row>
    <row r="80" spans="1:18" x14ac:dyDescent="0.2">
      <c r="A80" t="s">
        <v>453</v>
      </c>
      <c r="B80" t="s">
        <v>642</v>
      </c>
      <c r="C80" s="1">
        <v>44735</v>
      </c>
      <c r="D80" s="2">
        <v>0.57222222222222219</v>
      </c>
      <c r="E80" s="1">
        <v>44736</v>
      </c>
      <c r="F80" s="2">
        <v>0.3666666666666667</v>
      </c>
      <c r="G80">
        <v>54.781584000000002</v>
      </c>
      <c r="H80">
        <v>123.334233</v>
      </c>
      <c r="I80" t="s">
        <v>23</v>
      </c>
      <c r="J80">
        <v>9.4</v>
      </c>
      <c r="L80" t="s">
        <v>32</v>
      </c>
      <c r="M80">
        <v>1</v>
      </c>
      <c r="N80">
        <v>7583</v>
      </c>
      <c r="O80">
        <v>74</v>
      </c>
      <c r="P80">
        <f>3050-650</f>
        <v>2400</v>
      </c>
      <c r="Q80" t="s">
        <v>455</v>
      </c>
      <c r="R80">
        <v>250</v>
      </c>
    </row>
    <row r="81" spans="1:19" x14ac:dyDescent="0.2">
      <c r="A81" t="s">
        <v>453</v>
      </c>
      <c r="B81" t="s">
        <v>654</v>
      </c>
      <c r="C81" s="1">
        <v>44735</v>
      </c>
      <c r="D81" s="2">
        <v>0.61597222222222225</v>
      </c>
      <c r="E81" s="1">
        <v>44736</v>
      </c>
      <c r="F81" s="2">
        <v>0.4055555555555555</v>
      </c>
      <c r="G81">
        <v>54.797317</v>
      </c>
      <c r="H81">
        <v>123.34007200000001</v>
      </c>
      <c r="I81" t="s">
        <v>23</v>
      </c>
      <c r="J81">
        <v>9.3000000000000007</v>
      </c>
      <c r="L81" t="s">
        <v>32</v>
      </c>
      <c r="M81">
        <v>1</v>
      </c>
      <c r="N81">
        <v>7586</v>
      </c>
      <c r="O81">
        <v>91</v>
      </c>
      <c r="P81">
        <f>5700-650</f>
        <v>5050</v>
      </c>
      <c r="Q81" t="s">
        <v>455</v>
      </c>
      <c r="R81">
        <v>200</v>
      </c>
    </row>
    <row r="82" spans="1:19" x14ac:dyDescent="0.2">
      <c r="A82" t="s">
        <v>453</v>
      </c>
      <c r="B82" t="s">
        <v>657</v>
      </c>
      <c r="C82" s="1">
        <v>44735</v>
      </c>
      <c r="D82" s="2">
        <v>0.63194444444444442</v>
      </c>
      <c r="E82" s="1">
        <v>44736</v>
      </c>
      <c r="F82" s="2">
        <v>0.4201388888888889</v>
      </c>
      <c r="G82">
        <v>54.801380999999999</v>
      </c>
      <c r="H82">
        <v>123.333324</v>
      </c>
      <c r="I82" t="s">
        <v>23</v>
      </c>
      <c r="J82">
        <v>7.3</v>
      </c>
      <c r="L82" t="s">
        <v>32</v>
      </c>
      <c r="M82">
        <v>1</v>
      </c>
      <c r="N82">
        <v>7587</v>
      </c>
      <c r="O82">
        <v>66</v>
      </c>
      <c r="P82">
        <f>2250-650</f>
        <v>1600</v>
      </c>
      <c r="Q82" t="s">
        <v>455</v>
      </c>
      <c r="R82">
        <v>200</v>
      </c>
    </row>
    <row r="83" spans="1:19" x14ac:dyDescent="0.2">
      <c r="A83" t="s">
        <v>453</v>
      </c>
      <c r="B83" t="s">
        <v>668</v>
      </c>
      <c r="C83" s="1">
        <v>44858</v>
      </c>
      <c r="D83" s="2">
        <v>0.65555555555555556</v>
      </c>
      <c r="E83" s="1">
        <v>44859</v>
      </c>
      <c r="F83" s="2">
        <v>0.4145833333333333</v>
      </c>
      <c r="G83">
        <v>54.773600000000002</v>
      </c>
      <c r="H83">
        <v>123.412381</v>
      </c>
      <c r="I83" t="s">
        <v>23</v>
      </c>
      <c r="J83">
        <v>3.2</v>
      </c>
      <c r="L83" t="s">
        <v>32</v>
      </c>
      <c r="M83">
        <v>1</v>
      </c>
      <c r="N83">
        <v>7589</v>
      </c>
      <c r="O83">
        <v>81.8</v>
      </c>
      <c r="P83">
        <v>3500</v>
      </c>
      <c r="Q83" t="s">
        <v>455</v>
      </c>
      <c r="R83">
        <v>100</v>
      </c>
    </row>
    <row r="84" spans="1:19" x14ac:dyDescent="0.2">
      <c r="A84" t="s">
        <v>453</v>
      </c>
      <c r="B84" t="s">
        <v>673</v>
      </c>
      <c r="C84" s="1">
        <v>44858</v>
      </c>
      <c r="D84" s="2">
        <v>0.67361111111111116</v>
      </c>
      <c r="E84" s="1">
        <v>44859</v>
      </c>
      <c r="F84" s="2">
        <v>0.44097222222222227</v>
      </c>
      <c r="G84">
        <v>54.771864000000001</v>
      </c>
      <c r="H84">
        <v>123.404211</v>
      </c>
      <c r="I84" t="s">
        <v>23</v>
      </c>
      <c r="J84">
        <v>9.1</v>
      </c>
      <c r="L84" t="s">
        <v>32</v>
      </c>
      <c r="M84">
        <v>1</v>
      </c>
      <c r="N84">
        <v>7590</v>
      </c>
      <c r="O84">
        <v>84.1</v>
      </c>
      <c r="P84">
        <v>4600</v>
      </c>
      <c r="Q84" t="s">
        <v>455</v>
      </c>
      <c r="R84">
        <v>100</v>
      </c>
    </row>
    <row r="85" spans="1:19" x14ac:dyDescent="0.2">
      <c r="A85" t="s">
        <v>453</v>
      </c>
      <c r="B85" t="s">
        <v>710</v>
      </c>
      <c r="C85" s="1">
        <v>44860</v>
      </c>
      <c r="D85" s="2">
        <v>0.47986111111111113</v>
      </c>
      <c r="E85" s="1">
        <v>44861</v>
      </c>
      <c r="F85" s="2">
        <v>0.41736111111111113</v>
      </c>
      <c r="G85">
        <v>54.727789999999999</v>
      </c>
      <c r="H85">
        <v>123.31492</v>
      </c>
      <c r="I85" t="s">
        <v>23</v>
      </c>
      <c r="J85">
        <v>9.6999999999999993</v>
      </c>
      <c r="L85" t="s">
        <v>32</v>
      </c>
      <c r="M85">
        <v>1</v>
      </c>
      <c r="N85" s="7">
        <v>7595</v>
      </c>
      <c r="O85">
        <v>54.8</v>
      </c>
      <c r="P85">
        <v>1050</v>
      </c>
      <c r="Q85" t="s">
        <v>415</v>
      </c>
      <c r="R85">
        <v>150</v>
      </c>
    </row>
    <row r="86" spans="1:19" x14ac:dyDescent="0.2">
      <c r="A86" t="s">
        <v>453</v>
      </c>
      <c r="B86" t="s">
        <v>741</v>
      </c>
      <c r="C86" s="1">
        <v>44861</v>
      </c>
      <c r="D86" s="2">
        <v>0.5541666666666667</v>
      </c>
      <c r="E86" s="1">
        <v>44862</v>
      </c>
      <c r="F86" s="2">
        <v>0.36458333333333331</v>
      </c>
      <c r="G86">
        <v>54.785972999999998</v>
      </c>
      <c r="H86">
        <v>123.36604199999999</v>
      </c>
      <c r="I86" t="s">
        <v>23</v>
      </c>
      <c r="J86">
        <v>3.4</v>
      </c>
      <c r="L86" t="s">
        <v>32</v>
      </c>
      <c r="M86">
        <v>1</v>
      </c>
      <c r="N86">
        <v>7598</v>
      </c>
      <c r="O86">
        <v>92.2</v>
      </c>
      <c r="P86">
        <v>5500</v>
      </c>
      <c r="Q86" t="s">
        <v>734</v>
      </c>
      <c r="R86">
        <v>150</v>
      </c>
    </row>
    <row r="87" spans="1:19" x14ac:dyDescent="0.2">
      <c r="A87" t="s">
        <v>453</v>
      </c>
      <c r="B87" t="s">
        <v>736</v>
      </c>
      <c r="C87" s="1">
        <v>44861</v>
      </c>
      <c r="D87" s="2">
        <v>0.5708333333333333</v>
      </c>
      <c r="E87" s="1">
        <v>44862</v>
      </c>
      <c r="F87" s="2">
        <v>0.38541666666666669</v>
      </c>
      <c r="G87">
        <v>54.781945</v>
      </c>
      <c r="H87">
        <v>123.315078</v>
      </c>
      <c r="I87" t="s">
        <v>23</v>
      </c>
      <c r="J87">
        <v>3.3</v>
      </c>
      <c r="L87" t="s">
        <v>32</v>
      </c>
      <c r="M87">
        <v>1</v>
      </c>
      <c r="N87">
        <v>7599</v>
      </c>
      <c r="O87">
        <v>74.900000000000006</v>
      </c>
      <c r="P87">
        <v>2700</v>
      </c>
      <c r="Q87" t="s">
        <v>734</v>
      </c>
      <c r="R87">
        <v>150</v>
      </c>
    </row>
    <row r="88" spans="1:19" x14ac:dyDescent="0.2">
      <c r="A88" t="s">
        <v>453</v>
      </c>
      <c r="B88" t="s">
        <v>744</v>
      </c>
      <c r="C88" s="1">
        <v>44861</v>
      </c>
      <c r="D88" s="2">
        <v>0.58194444444444449</v>
      </c>
      <c r="E88" s="1">
        <v>44862</v>
      </c>
      <c r="F88" s="2">
        <v>0.40208333333333335</v>
      </c>
      <c r="G88">
        <v>54.793934999999998</v>
      </c>
      <c r="H88">
        <v>123.338639</v>
      </c>
      <c r="I88" t="s">
        <v>23</v>
      </c>
      <c r="J88">
        <v>5.9</v>
      </c>
      <c r="L88" t="s">
        <v>32</v>
      </c>
      <c r="M88">
        <v>1</v>
      </c>
      <c r="N88">
        <v>7601</v>
      </c>
      <c r="O88">
        <v>59.1</v>
      </c>
      <c r="P88">
        <v>1200</v>
      </c>
      <c r="Q88" t="s">
        <v>734</v>
      </c>
      <c r="R88">
        <v>150</v>
      </c>
    </row>
    <row r="89" spans="1:19" x14ac:dyDescent="0.2">
      <c r="A89" t="s">
        <v>453</v>
      </c>
      <c r="B89" t="s">
        <v>753</v>
      </c>
      <c r="C89" s="1">
        <v>44861</v>
      </c>
      <c r="D89" s="2">
        <v>0.625</v>
      </c>
      <c r="E89" s="1">
        <v>44862</v>
      </c>
      <c r="F89" s="2">
        <v>0.4375</v>
      </c>
      <c r="G89">
        <v>54.804440999999997</v>
      </c>
      <c r="H89">
        <v>123.327049</v>
      </c>
      <c r="I89" t="s">
        <v>23</v>
      </c>
      <c r="J89">
        <v>10</v>
      </c>
      <c r="L89" t="s">
        <v>32</v>
      </c>
      <c r="M89">
        <v>1</v>
      </c>
      <c r="N89">
        <v>7602</v>
      </c>
      <c r="O89">
        <v>93.7</v>
      </c>
      <c r="P89">
        <v>6300</v>
      </c>
      <c r="Q89" t="s">
        <v>734</v>
      </c>
      <c r="R89">
        <v>150</v>
      </c>
    </row>
    <row r="90" spans="1:19" x14ac:dyDescent="0.2">
      <c r="A90" t="s">
        <v>453</v>
      </c>
      <c r="B90" t="s">
        <v>509</v>
      </c>
      <c r="C90" s="1">
        <v>44712</v>
      </c>
      <c r="D90" s="2">
        <v>0.65347222222222223</v>
      </c>
      <c r="E90" s="1">
        <v>44713</v>
      </c>
      <c r="F90" s="2">
        <v>0.50694444444444442</v>
      </c>
      <c r="G90">
        <v>54.728720000000003</v>
      </c>
      <c r="H90">
        <v>123.37669200000001</v>
      </c>
      <c r="I90" t="s">
        <v>23</v>
      </c>
      <c r="J90">
        <v>10.199999999999999</v>
      </c>
      <c r="L90" t="s">
        <v>32</v>
      </c>
      <c r="M90">
        <v>2</v>
      </c>
      <c r="N90" t="s">
        <v>510</v>
      </c>
      <c r="O90">
        <v>81.5</v>
      </c>
      <c r="P90">
        <f>4450-650</f>
        <v>3800</v>
      </c>
      <c r="Q90" t="s">
        <v>455</v>
      </c>
      <c r="R90">
        <v>150</v>
      </c>
      <c r="S90" t="s">
        <v>511</v>
      </c>
    </row>
    <row r="91" spans="1:19" x14ac:dyDescent="0.2">
      <c r="A91" t="s">
        <v>453</v>
      </c>
      <c r="B91" t="s">
        <v>547</v>
      </c>
      <c r="C91" s="1">
        <v>44714</v>
      </c>
      <c r="D91" s="2">
        <v>0.59722222222222221</v>
      </c>
      <c r="E91" s="1">
        <v>44715</v>
      </c>
      <c r="F91" s="2">
        <v>0.39861111111111108</v>
      </c>
      <c r="G91">
        <v>54.788407999999997</v>
      </c>
      <c r="H91">
        <v>123.336783</v>
      </c>
      <c r="I91" t="s">
        <v>23</v>
      </c>
      <c r="J91">
        <v>6.4</v>
      </c>
      <c r="L91" t="s">
        <v>32</v>
      </c>
      <c r="M91">
        <v>2</v>
      </c>
      <c r="N91" t="s">
        <v>548</v>
      </c>
      <c r="O91">
        <v>77</v>
      </c>
      <c r="P91">
        <f>4400-650</f>
        <v>3750</v>
      </c>
      <c r="Q91" t="s">
        <v>455</v>
      </c>
      <c r="R91">
        <v>100</v>
      </c>
      <c r="S91" t="s">
        <v>549</v>
      </c>
    </row>
    <row r="92" spans="1:19" x14ac:dyDescent="0.2">
      <c r="A92" t="s">
        <v>453</v>
      </c>
      <c r="B92" t="s">
        <v>456</v>
      </c>
      <c r="C92" s="1">
        <v>44711</v>
      </c>
      <c r="D92" s="2">
        <v>0.65</v>
      </c>
      <c r="E92" s="1">
        <v>44712</v>
      </c>
      <c r="F92" s="2">
        <v>0.39097222222222222</v>
      </c>
      <c r="G92">
        <v>54.782041999999997</v>
      </c>
      <c r="H92">
        <v>123.381022</v>
      </c>
      <c r="I92" t="s">
        <v>23</v>
      </c>
      <c r="J92">
        <v>4.8</v>
      </c>
      <c r="L92" t="s">
        <v>32</v>
      </c>
      <c r="M92">
        <v>2</v>
      </c>
      <c r="N92" t="s">
        <v>457</v>
      </c>
      <c r="O92">
        <v>60.5</v>
      </c>
      <c r="P92">
        <v>1050</v>
      </c>
      <c r="Q92" t="s">
        <v>455</v>
      </c>
      <c r="R92">
        <v>150</v>
      </c>
      <c r="S92" t="s">
        <v>458</v>
      </c>
    </row>
    <row r="93" spans="1:19" x14ac:dyDescent="0.2">
      <c r="A93" t="s">
        <v>453</v>
      </c>
      <c r="B93" t="s">
        <v>480</v>
      </c>
      <c r="C93" s="1">
        <v>44712</v>
      </c>
      <c r="D93" s="2">
        <v>0.54791666666666672</v>
      </c>
      <c r="E93" s="1">
        <v>44713</v>
      </c>
      <c r="F93" s="2">
        <v>0.37986111111111115</v>
      </c>
      <c r="G93">
        <v>54.757216999999997</v>
      </c>
      <c r="H93">
        <v>123.35154799999999</v>
      </c>
      <c r="I93" t="s">
        <v>23</v>
      </c>
      <c r="J93">
        <v>9.8000000000000007</v>
      </c>
      <c r="L93" t="s">
        <v>32</v>
      </c>
      <c r="M93">
        <v>2</v>
      </c>
      <c r="N93" t="s">
        <v>481</v>
      </c>
      <c r="O93">
        <v>61</v>
      </c>
      <c r="P93">
        <f>2600-650</f>
        <v>1950</v>
      </c>
      <c r="Q93" t="s">
        <v>455</v>
      </c>
      <c r="R93">
        <v>100</v>
      </c>
      <c r="S93" t="s">
        <v>482</v>
      </c>
    </row>
    <row r="94" spans="1:19" x14ac:dyDescent="0.2">
      <c r="A94" t="s">
        <v>453</v>
      </c>
      <c r="B94" t="s">
        <v>486</v>
      </c>
      <c r="C94" s="1">
        <v>44712</v>
      </c>
      <c r="D94" s="2">
        <v>0.56527777777777777</v>
      </c>
      <c r="E94" s="1">
        <v>44713</v>
      </c>
      <c r="F94" s="2">
        <v>0.3972222222222222</v>
      </c>
      <c r="G94">
        <v>54.742260999999999</v>
      </c>
      <c r="H94">
        <v>123.37044299999999</v>
      </c>
      <c r="I94" t="s">
        <v>23</v>
      </c>
      <c r="J94">
        <v>8.9</v>
      </c>
      <c r="L94" t="s">
        <v>32</v>
      </c>
      <c r="M94">
        <v>2</v>
      </c>
      <c r="N94" t="s">
        <v>487</v>
      </c>
      <c r="O94">
        <v>89</v>
      </c>
      <c r="P94">
        <f>4700-650</f>
        <v>4050</v>
      </c>
      <c r="Q94" t="s">
        <v>455</v>
      </c>
      <c r="R94">
        <v>200</v>
      </c>
      <c r="S94" t="s">
        <v>488</v>
      </c>
    </row>
    <row r="95" spans="1:19" x14ac:dyDescent="0.2">
      <c r="A95" t="s">
        <v>453</v>
      </c>
      <c r="B95" t="s">
        <v>494</v>
      </c>
      <c r="C95" s="1">
        <v>44712</v>
      </c>
      <c r="D95" s="2">
        <v>0.6020833333333333</v>
      </c>
      <c r="E95" s="1">
        <v>44713</v>
      </c>
      <c r="F95" s="2">
        <v>0.43402777777777773</v>
      </c>
      <c r="G95">
        <v>54.747807000000002</v>
      </c>
      <c r="H95">
        <v>123.32709699999999</v>
      </c>
      <c r="I95" t="s">
        <v>23</v>
      </c>
      <c r="J95">
        <v>6.7</v>
      </c>
      <c r="L95" t="s">
        <v>32</v>
      </c>
      <c r="M95">
        <v>2</v>
      </c>
      <c r="N95" t="s">
        <v>495</v>
      </c>
      <c r="O95">
        <v>76</v>
      </c>
      <c r="P95">
        <f>4100-650</f>
        <v>3450</v>
      </c>
      <c r="Q95" t="s">
        <v>455</v>
      </c>
      <c r="R95">
        <v>250</v>
      </c>
      <c r="S95" t="s">
        <v>496</v>
      </c>
    </row>
    <row r="96" spans="1:19" x14ac:dyDescent="0.2">
      <c r="A96" t="s">
        <v>453</v>
      </c>
      <c r="B96" t="s">
        <v>497</v>
      </c>
      <c r="C96" s="1">
        <v>44712</v>
      </c>
      <c r="D96" s="2">
        <v>0.60763888888888895</v>
      </c>
      <c r="E96" s="1">
        <v>44713</v>
      </c>
      <c r="F96" s="2">
        <v>0.44861111111111113</v>
      </c>
      <c r="G96">
        <v>54.739089999999997</v>
      </c>
      <c r="H96">
        <v>123.331202</v>
      </c>
      <c r="I96" t="s">
        <v>23</v>
      </c>
      <c r="J96">
        <v>9.3000000000000007</v>
      </c>
      <c r="L96" t="s">
        <v>32</v>
      </c>
      <c r="M96">
        <v>2</v>
      </c>
      <c r="N96" t="s">
        <v>498</v>
      </c>
      <c r="O96">
        <v>68</v>
      </c>
      <c r="P96">
        <f>4100-650</f>
        <v>3450</v>
      </c>
      <c r="Q96" t="s">
        <v>455</v>
      </c>
      <c r="R96">
        <v>250</v>
      </c>
      <c r="S96" t="s">
        <v>499</v>
      </c>
    </row>
    <row r="97" spans="1:19" x14ac:dyDescent="0.2">
      <c r="A97" t="s">
        <v>19</v>
      </c>
      <c r="B97" t="s">
        <v>362</v>
      </c>
      <c r="C97" s="1">
        <v>44720</v>
      </c>
      <c r="D97" s="2">
        <v>0.65555555555555556</v>
      </c>
      <c r="E97" s="1">
        <v>44722</v>
      </c>
      <c r="F97" s="2">
        <v>0.51458333333333328</v>
      </c>
      <c r="G97">
        <v>54.070630999999999</v>
      </c>
      <c r="H97">
        <v>124.655581</v>
      </c>
      <c r="I97" t="s">
        <v>23</v>
      </c>
      <c r="J97">
        <v>9.1999999999999993</v>
      </c>
      <c r="L97" t="s">
        <v>32</v>
      </c>
      <c r="M97">
        <v>3</v>
      </c>
      <c r="N97" t="s">
        <v>363</v>
      </c>
      <c r="Q97" t="s">
        <v>358</v>
      </c>
      <c r="R97">
        <v>100</v>
      </c>
    </row>
    <row r="98" spans="1:19" x14ac:dyDescent="0.2">
      <c r="A98" t="s">
        <v>453</v>
      </c>
      <c r="B98" t="s">
        <v>557</v>
      </c>
      <c r="C98" s="1">
        <v>44732</v>
      </c>
      <c r="D98" s="2">
        <v>0.64513888888888882</v>
      </c>
      <c r="E98" s="1">
        <v>44733</v>
      </c>
      <c r="F98" s="2">
        <v>0.3923611111111111</v>
      </c>
      <c r="G98">
        <v>54.771402999999999</v>
      </c>
      <c r="H98">
        <v>123.359165</v>
      </c>
      <c r="I98" t="s">
        <v>23</v>
      </c>
      <c r="J98">
        <v>8.3000000000000007</v>
      </c>
      <c r="L98" t="s">
        <v>32</v>
      </c>
      <c r="M98">
        <v>2</v>
      </c>
      <c r="N98" t="s">
        <v>558</v>
      </c>
      <c r="O98">
        <v>54.5</v>
      </c>
      <c r="P98">
        <f>1750-650</f>
        <v>1100</v>
      </c>
      <c r="Q98" t="s">
        <v>455</v>
      </c>
      <c r="R98">
        <v>150</v>
      </c>
      <c r="S98" t="s">
        <v>559</v>
      </c>
    </row>
    <row r="99" spans="1:19" x14ac:dyDescent="0.2">
      <c r="A99" t="s">
        <v>453</v>
      </c>
      <c r="B99" t="s">
        <v>601</v>
      </c>
      <c r="C99" s="1">
        <v>44733</v>
      </c>
      <c r="D99" s="2">
        <v>0.59097222222222223</v>
      </c>
      <c r="E99" s="1">
        <v>44734</v>
      </c>
      <c r="F99" s="2">
        <v>0.45555555555555555</v>
      </c>
      <c r="G99">
        <v>54.720339000000003</v>
      </c>
      <c r="H99">
        <v>123.363663</v>
      </c>
      <c r="I99" t="s">
        <v>23</v>
      </c>
      <c r="J99">
        <v>5</v>
      </c>
      <c r="K99" t="s">
        <v>602</v>
      </c>
      <c r="L99" t="s">
        <v>32</v>
      </c>
      <c r="M99">
        <v>3</v>
      </c>
      <c r="N99" t="s">
        <v>603</v>
      </c>
      <c r="O99">
        <v>59</v>
      </c>
      <c r="P99">
        <f>2150-650</f>
        <v>1500</v>
      </c>
      <c r="Q99" t="s">
        <v>455</v>
      </c>
      <c r="R99">
        <v>200</v>
      </c>
      <c r="S99" t="s">
        <v>604</v>
      </c>
    </row>
    <row r="100" spans="1:19" x14ac:dyDescent="0.2">
      <c r="A100" t="s">
        <v>453</v>
      </c>
      <c r="B100" t="s">
        <v>611</v>
      </c>
      <c r="C100" s="1">
        <v>44734</v>
      </c>
      <c r="D100" s="2">
        <v>0.50972222222222219</v>
      </c>
      <c r="E100" s="1">
        <v>44735</v>
      </c>
      <c r="F100" s="2">
        <v>0.3923611111111111</v>
      </c>
      <c r="G100">
        <v>54.728464000000002</v>
      </c>
      <c r="H100">
        <v>123.31708500000001</v>
      </c>
      <c r="I100" t="s">
        <v>23</v>
      </c>
      <c r="J100">
        <v>10</v>
      </c>
      <c r="L100" t="s">
        <v>32</v>
      </c>
      <c r="M100">
        <v>2</v>
      </c>
      <c r="N100" t="s">
        <v>612</v>
      </c>
      <c r="O100">
        <v>68.5</v>
      </c>
      <c r="P100">
        <f>2700-650</f>
        <v>2050</v>
      </c>
      <c r="Q100" t="s">
        <v>455</v>
      </c>
      <c r="R100">
        <v>200</v>
      </c>
    </row>
    <row r="101" spans="1:19" x14ac:dyDescent="0.2">
      <c r="A101" t="s">
        <v>453</v>
      </c>
      <c r="B101" t="s">
        <v>615</v>
      </c>
      <c r="C101" s="1">
        <v>44734</v>
      </c>
      <c r="D101" s="2">
        <v>0.54166666666666663</v>
      </c>
      <c r="E101" s="1">
        <v>44735</v>
      </c>
      <c r="F101" s="2">
        <v>0.41666666666666669</v>
      </c>
      <c r="G101">
        <v>54.731872000000003</v>
      </c>
      <c r="H101">
        <v>123.295716</v>
      </c>
      <c r="I101" t="s">
        <v>23</v>
      </c>
      <c r="J101">
        <v>10.1</v>
      </c>
      <c r="L101" t="s">
        <v>32</v>
      </c>
      <c r="M101">
        <v>2</v>
      </c>
      <c r="N101" t="s">
        <v>616</v>
      </c>
      <c r="O101">
        <v>49</v>
      </c>
      <c r="P101">
        <f>1700-650</f>
        <v>1050</v>
      </c>
      <c r="Q101" t="s">
        <v>455</v>
      </c>
      <c r="R101">
        <v>150</v>
      </c>
      <c r="S101" t="s">
        <v>617</v>
      </c>
    </row>
    <row r="102" spans="1:19" x14ac:dyDescent="0.2">
      <c r="A102" t="s">
        <v>453</v>
      </c>
      <c r="B102" t="s">
        <v>645</v>
      </c>
      <c r="C102" s="1">
        <v>44735</v>
      </c>
      <c r="D102" s="2">
        <v>0.59027777777777779</v>
      </c>
      <c r="E102" s="1">
        <v>44736</v>
      </c>
      <c r="F102" s="2">
        <v>0.37777777777777777</v>
      </c>
      <c r="G102">
        <v>54.785141000000003</v>
      </c>
      <c r="H102">
        <v>123.318662</v>
      </c>
      <c r="I102" t="s">
        <v>23</v>
      </c>
      <c r="J102">
        <v>8.6</v>
      </c>
      <c r="L102" t="s">
        <v>32</v>
      </c>
      <c r="M102">
        <v>2</v>
      </c>
      <c r="N102" t="s">
        <v>646</v>
      </c>
      <c r="O102">
        <v>71</v>
      </c>
      <c r="P102">
        <f>3300-650</f>
        <v>2650</v>
      </c>
      <c r="Q102" t="s">
        <v>455</v>
      </c>
      <c r="R102">
        <v>200</v>
      </c>
      <c r="S102" t="s">
        <v>647</v>
      </c>
    </row>
    <row r="103" spans="1:19" x14ac:dyDescent="0.2">
      <c r="A103" t="s">
        <v>453</v>
      </c>
      <c r="B103" t="s">
        <v>686</v>
      </c>
      <c r="C103" s="1">
        <v>44859</v>
      </c>
      <c r="D103" s="2">
        <v>0.53055555555555556</v>
      </c>
      <c r="E103" s="1">
        <v>44860</v>
      </c>
      <c r="F103" s="2">
        <v>0.3743055555555555</v>
      </c>
      <c r="G103">
        <v>54.726714999999999</v>
      </c>
      <c r="H103">
        <v>123.329803</v>
      </c>
      <c r="I103" t="s">
        <v>23</v>
      </c>
      <c r="J103">
        <v>7</v>
      </c>
      <c r="L103" t="s">
        <v>32</v>
      </c>
      <c r="M103">
        <v>2</v>
      </c>
      <c r="N103" t="s">
        <v>687</v>
      </c>
      <c r="O103" s="11" t="s">
        <v>688</v>
      </c>
      <c r="P103" s="11" t="s">
        <v>689</v>
      </c>
      <c r="Q103" t="s">
        <v>415</v>
      </c>
      <c r="R103">
        <v>150</v>
      </c>
    </row>
    <row r="104" spans="1:19" x14ac:dyDescent="0.2">
      <c r="A104" t="s">
        <v>453</v>
      </c>
      <c r="B104" t="s">
        <v>720</v>
      </c>
      <c r="C104" s="1">
        <v>44860</v>
      </c>
      <c r="D104" s="2">
        <v>0.51874999999999993</v>
      </c>
      <c r="E104" s="1">
        <v>44861</v>
      </c>
      <c r="F104" s="2">
        <v>0.46319444444444446</v>
      </c>
      <c r="G104">
        <v>54.766500000000001</v>
      </c>
      <c r="H104">
        <v>123.270887</v>
      </c>
      <c r="I104" t="s">
        <v>23</v>
      </c>
      <c r="J104">
        <v>10</v>
      </c>
      <c r="L104" t="s">
        <v>32</v>
      </c>
      <c r="M104">
        <v>2</v>
      </c>
      <c r="N104" t="s">
        <v>721</v>
      </c>
      <c r="O104" t="s">
        <v>722</v>
      </c>
      <c r="P104" t="s">
        <v>723</v>
      </c>
      <c r="Q104" t="s">
        <v>415</v>
      </c>
      <c r="R104">
        <v>150</v>
      </c>
    </row>
    <row r="105" spans="1:19" x14ac:dyDescent="0.2">
      <c r="A105" t="s">
        <v>453</v>
      </c>
      <c r="B105" t="s">
        <v>737</v>
      </c>
      <c r="C105" s="1">
        <v>44861</v>
      </c>
      <c r="D105" s="2">
        <v>0.57291666666666663</v>
      </c>
      <c r="E105" s="1">
        <v>44862</v>
      </c>
      <c r="F105" s="2">
        <v>0.39166666666666666</v>
      </c>
      <c r="G105">
        <v>54.787837000000003</v>
      </c>
      <c r="H105">
        <v>123.316001</v>
      </c>
      <c r="I105" t="s">
        <v>23</v>
      </c>
      <c r="J105">
        <v>7.2</v>
      </c>
      <c r="L105" t="s">
        <v>32</v>
      </c>
      <c r="M105">
        <v>3</v>
      </c>
      <c r="N105" t="s">
        <v>738</v>
      </c>
      <c r="O105" t="s">
        <v>739</v>
      </c>
      <c r="P105" t="s">
        <v>740</v>
      </c>
      <c r="Q105" t="s">
        <v>734</v>
      </c>
      <c r="R105">
        <v>150</v>
      </c>
    </row>
    <row r="106" spans="1:19" x14ac:dyDescent="0.2">
      <c r="A106" t="s">
        <v>453</v>
      </c>
      <c r="B106" t="s">
        <v>574</v>
      </c>
      <c r="C106" s="1">
        <v>44732</v>
      </c>
      <c r="D106" s="2">
        <v>0.75347222222222221</v>
      </c>
      <c r="E106" s="1">
        <v>44733</v>
      </c>
      <c r="F106" s="2">
        <v>0.48055555555555557</v>
      </c>
      <c r="G106">
        <v>54.780932999999997</v>
      </c>
      <c r="H106">
        <v>123.388805</v>
      </c>
      <c r="I106" t="s">
        <v>23</v>
      </c>
      <c r="J106">
        <v>8</v>
      </c>
      <c r="L106" t="s">
        <v>32</v>
      </c>
      <c r="M106">
        <v>2</v>
      </c>
      <c r="N106" t="s">
        <v>575</v>
      </c>
      <c r="O106">
        <v>72.5</v>
      </c>
      <c r="P106">
        <f>3500-650</f>
        <v>2850</v>
      </c>
      <c r="Q106" t="s">
        <v>455</v>
      </c>
      <c r="R106">
        <v>100</v>
      </c>
      <c r="S106" t="s">
        <v>576</v>
      </c>
    </row>
    <row r="107" spans="1:19" x14ac:dyDescent="0.2">
      <c r="A107" t="s">
        <v>453</v>
      </c>
      <c r="B107" t="s">
        <v>585</v>
      </c>
      <c r="C107" s="1">
        <v>44733</v>
      </c>
      <c r="D107" s="2">
        <v>0.56111111111111112</v>
      </c>
      <c r="E107" s="1">
        <v>44734</v>
      </c>
      <c r="F107" s="2">
        <v>0.39930555555555558</v>
      </c>
      <c r="G107">
        <v>54.723182999999999</v>
      </c>
      <c r="H107">
        <v>123.375726</v>
      </c>
      <c r="I107" t="s">
        <v>23</v>
      </c>
      <c r="J107">
        <v>10</v>
      </c>
      <c r="L107" t="s">
        <v>32</v>
      </c>
      <c r="M107">
        <v>2</v>
      </c>
      <c r="N107" t="s">
        <v>586</v>
      </c>
      <c r="O107">
        <v>61.5</v>
      </c>
      <c r="P107">
        <f>2050-650</f>
        <v>1400</v>
      </c>
      <c r="Q107" t="s">
        <v>455</v>
      </c>
      <c r="R107">
        <v>200</v>
      </c>
      <c r="S107" t="s">
        <v>587</v>
      </c>
    </row>
    <row r="108" spans="1:19" x14ac:dyDescent="0.2">
      <c r="A108" t="s">
        <v>453</v>
      </c>
      <c r="B108" t="s">
        <v>588</v>
      </c>
      <c r="C108" s="1">
        <v>44733</v>
      </c>
      <c r="D108" s="2">
        <v>0.56458333333333333</v>
      </c>
      <c r="E108" s="1">
        <v>44734</v>
      </c>
      <c r="F108" s="2">
        <v>0.40486111111111112</v>
      </c>
      <c r="G108">
        <v>54.722259999999999</v>
      </c>
      <c r="H108">
        <v>123.373953</v>
      </c>
      <c r="I108" t="s">
        <v>23</v>
      </c>
      <c r="J108">
        <v>9.4</v>
      </c>
      <c r="L108" t="s">
        <v>32</v>
      </c>
      <c r="M108">
        <v>3</v>
      </c>
      <c r="N108" t="s">
        <v>589</v>
      </c>
      <c r="O108">
        <v>75</v>
      </c>
      <c r="P108">
        <f>2900-650</f>
        <v>2250</v>
      </c>
      <c r="Q108" t="s">
        <v>455</v>
      </c>
      <c r="R108">
        <v>200</v>
      </c>
      <c r="S108" t="s">
        <v>590</v>
      </c>
    </row>
    <row r="109" spans="1:19" x14ac:dyDescent="0.2">
      <c r="A109" t="s">
        <v>453</v>
      </c>
      <c r="B109" t="s">
        <v>591</v>
      </c>
      <c r="C109" s="1">
        <v>44733</v>
      </c>
      <c r="D109" s="2">
        <v>0.56944444444444442</v>
      </c>
      <c r="E109" s="1">
        <v>44734</v>
      </c>
      <c r="F109" s="2">
        <v>0.41666666666666669</v>
      </c>
      <c r="G109">
        <v>54.720154000000001</v>
      </c>
      <c r="H109">
        <v>123.37837399999999</v>
      </c>
      <c r="I109" t="s">
        <v>23</v>
      </c>
      <c r="J109">
        <v>9.6999999999999993</v>
      </c>
      <c r="L109" t="s">
        <v>32</v>
      </c>
      <c r="M109">
        <v>2</v>
      </c>
      <c r="N109" t="s">
        <v>592</v>
      </c>
      <c r="O109">
        <v>64</v>
      </c>
      <c r="P109">
        <f>2700-650</f>
        <v>2050</v>
      </c>
      <c r="Q109" t="s">
        <v>455</v>
      </c>
      <c r="R109">
        <v>200</v>
      </c>
      <c r="S109" t="s">
        <v>593</v>
      </c>
    </row>
    <row r="110" spans="1:19" x14ac:dyDescent="0.2">
      <c r="A110" t="s">
        <v>453</v>
      </c>
      <c r="B110" t="s">
        <v>619</v>
      </c>
      <c r="C110" s="1">
        <v>44734</v>
      </c>
      <c r="D110" s="2">
        <v>0.55138888888888882</v>
      </c>
      <c r="E110" s="1">
        <v>44735</v>
      </c>
      <c r="F110" s="2">
        <v>0.4381944444444445</v>
      </c>
      <c r="G110">
        <v>54.746654999999997</v>
      </c>
      <c r="H110">
        <v>123.27634</v>
      </c>
      <c r="I110" t="s">
        <v>23</v>
      </c>
      <c r="J110">
        <v>9.6999999999999993</v>
      </c>
      <c r="L110" t="s">
        <v>32</v>
      </c>
      <c r="M110">
        <v>2</v>
      </c>
      <c r="N110" t="s">
        <v>620</v>
      </c>
      <c r="O110">
        <v>58.5</v>
      </c>
      <c r="P110">
        <f>2050-650</f>
        <v>1400</v>
      </c>
      <c r="Q110" t="s">
        <v>455</v>
      </c>
      <c r="R110">
        <v>150</v>
      </c>
      <c r="S110" t="s">
        <v>621</v>
      </c>
    </row>
    <row r="111" spans="1:19" x14ac:dyDescent="0.2">
      <c r="A111" t="s">
        <v>453</v>
      </c>
      <c r="B111" t="s">
        <v>622</v>
      </c>
      <c r="C111" s="1">
        <v>44734</v>
      </c>
      <c r="D111" s="2">
        <v>0.55486111111111114</v>
      </c>
      <c r="E111" s="1">
        <v>44735</v>
      </c>
      <c r="F111" s="2">
        <v>0.46527777777777773</v>
      </c>
      <c r="G111">
        <v>54.751432999999999</v>
      </c>
      <c r="H111">
        <v>123.27982299999999</v>
      </c>
      <c r="I111" t="s">
        <v>23</v>
      </c>
      <c r="J111">
        <v>10.199999999999999</v>
      </c>
      <c r="L111" t="s">
        <v>32</v>
      </c>
      <c r="M111">
        <v>2</v>
      </c>
      <c r="N111" t="s">
        <v>623</v>
      </c>
      <c r="O111">
        <v>61</v>
      </c>
      <c r="P111">
        <f>2000-650</f>
        <v>1350</v>
      </c>
      <c r="Q111" t="s">
        <v>455</v>
      </c>
      <c r="R111">
        <v>150</v>
      </c>
      <c r="S111" t="s">
        <v>624</v>
      </c>
    </row>
    <row r="112" spans="1:19" x14ac:dyDescent="0.2">
      <c r="A112" t="s">
        <v>453</v>
      </c>
      <c r="B112" t="s">
        <v>634</v>
      </c>
      <c r="C112" s="1">
        <v>44734</v>
      </c>
      <c r="D112" s="2">
        <v>0.6069444444444444</v>
      </c>
      <c r="E112" s="1">
        <v>44735</v>
      </c>
      <c r="F112" s="2">
        <v>0.52430555555555558</v>
      </c>
      <c r="G112">
        <v>54.766942</v>
      </c>
      <c r="H112">
        <v>123.277163</v>
      </c>
      <c r="I112" t="s">
        <v>23</v>
      </c>
      <c r="J112">
        <v>9.5</v>
      </c>
      <c r="L112" t="s">
        <v>32</v>
      </c>
      <c r="M112">
        <v>2</v>
      </c>
      <c r="N112" t="s">
        <v>635</v>
      </c>
      <c r="O112">
        <v>81</v>
      </c>
      <c r="P112">
        <f>4000-650</f>
        <v>3350</v>
      </c>
      <c r="Q112" t="s">
        <v>455</v>
      </c>
      <c r="R112">
        <v>200</v>
      </c>
      <c r="S112" t="s">
        <v>636</v>
      </c>
    </row>
    <row r="113" spans="1:19" x14ac:dyDescent="0.2">
      <c r="A113" t="s">
        <v>453</v>
      </c>
      <c r="B113" t="s">
        <v>638</v>
      </c>
      <c r="C113" s="1">
        <v>44734</v>
      </c>
      <c r="D113" s="2">
        <v>0.61805555555555558</v>
      </c>
      <c r="E113" s="1">
        <v>44735</v>
      </c>
      <c r="F113" s="2">
        <v>0.53541666666666665</v>
      </c>
      <c r="G113">
        <v>54.760629000000002</v>
      </c>
      <c r="H113">
        <v>123.31841900000001</v>
      </c>
      <c r="I113" t="s">
        <v>23</v>
      </c>
      <c r="J113">
        <v>10</v>
      </c>
      <c r="L113" t="s">
        <v>32</v>
      </c>
      <c r="M113">
        <v>3</v>
      </c>
      <c r="N113" t="s">
        <v>639</v>
      </c>
      <c r="O113">
        <v>73.5</v>
      </c>
      <c r="P113">
        <f>4000-650</f>
        <v>3350</v>
      </c>
      <c r="Q113" t="s">
        <v>455</v>
      </c>
      <c r="R113">
        <v>200</v>
      </c>
      <c r="S113" t="s">
        <v>640</v>
      </c>
    </row>
    <row r="114" spans="1:19" x14ac:dyDescent="0.2">
      <c r="A114" t="s">
        <v>19</v>
      </c>
      <c r="B114" t="s">
        <v>71</v>
      </c>
      <c r="C114" s="1">
        <v>44695</v>
      </c>
      <c r="D114" s="2">
        <v>0.77013888888888893</v>
      </c>
      <c r="E114" s="1">
        <v>44696</v>
      </c>
      <c r="F114" s="2">
        <v>0.35000000000000003</v>
      </c>
      <c r="G114" s="3" t="s">
        <v>72</v>
      </c>
      <c r="H114" s="3" t="s">
        <v>73</v>
      </c>
      <c r="I114" t="s">
        <v>23</v>
      </c>
      <c r="J114">
        <v>9.6</v>
      </c>
      <c r="L114" t="s">
        <v>24</v>
      </c>
      <c r="M114">
        <v>0</v>
      </c>
      <c r="N114" t="s">
        <v>24</v>
      </c>
      <c r="Q114" t="s">
        <v>25</v>
      </c>
      <c r="R114">
        <v>200</v>
      </c>
    </row>
    <row r="115" spans="1:19" x14ac:dyDescent="0.2">
      <c r="A115" t="s">
        <v>19</v>
      </c>
      <c r="B115" t="s">
        <v>74</v>
      </c>
      <c r="C115" s="1">
        <v>44695</v>
      </c>
      <c r="D115" s="2">
        <v>0.77777777777777779</v>
      </c>
      <c r="E115" s="1">
        <v>44696</v>
      </c>
      <c r="F115" s="2">
        <v>0.3576388888888889</v>
      </c>
      <c r="G115" s="3" t="s">
        <v>75</v>
      </c>
      <c r="H115" s="3" t="s">
        <v>76</v>
      </c>
      <c r="I115" t="s">
        <v>23</v>
      </c>
      <c r="J115">
        <v>4.7</v>
      </c>
      <c r="L115" t="s">
        <v>24</v>
      </c>
      <c r="M115">
        <v>0</v>
      </c>
      <c r="N115" t="s">
        <v>24</v>
      </c>
      <c r="Q115" t="s">
        <v>25</v>
      </c>
      <c r="R115">
        <v>200</v>
      </c>
    </row>
    <row r="116" spans="1:19" x14ac:dyDescent="0.2">
      <c r="A116" t="s">
        <v>19</v>
      </c>
      <c r="B116" t="s">
        <v>77</v>
      </c>
      <c r="C116" s="1">
        <v>44695</v>
      </c>
      <c r="D116" s="2">
        <v>0.79027777777777775</v>
      </c>
      <c r="E116" s="1">
        <v>44696</v>
      </c>
      <c r="F116" s="2">
        <v>0.37222222222222223</v>
      </c>
      <c r="G116" s="3" t="s">
        <v>78</v>
      </c>
      <c r="H116" s="3" t="s">
        <v>79</v>
      </c>
      <c r="I116" t="s">
        <v>23</v>
      </c>
      <c r="J116">
        <v>9.6</v>
      </c>
      <c r="L116" t="s">
        <v>24</v>
      </c>
      <c r="M116">
        <v>0</v>
      </c>
      <c r="N116" t="s">
        <v>24</v>
      </c>
      <c r="Q116" t="s">
        <v>25</v>
      </c>
      <c r="R116">
        <v>200</v>
      </c>
    </row>
    <row r="117" spans="1:19" x14ac:dyDescent="0.2">
      <c r="A117" t="s">
        <v>19</v>
      </c>
      <c r="B117" t="s">
        <v>384</v>
      </c>
      <c r="C117" s="1">
        <v>44695</v>
      </c>
      <c r="D117" s="2">
        <v>0.79166666666666663</v>
      </c>
      <c r="E117" s="1"/>
      <c r="G117" s="3" t="s">
        <v>385</v>
      </c>
      <c r="H117" s="3" t="s">
        <v>386</v>
      </c>
      <c r="I117" t="s">
        <v>23</v>
      </c>
      <c r="J117">
        <v>9.1</v>
      </c>
      <c r="L117" t="s">
        <v>24</v>
      </c>
      <c r="M117">
        <v>0</v>
      </c>
      <c r="N117" t="s">
        <v>24</v>
      </c>
      <c r="Q117" t="s">
        <v>25</v>
      </c>
      <c r="R117">
        <v>100</v>
      </c>
    </row>
    <row r="118" spans="1:19" x14ac:dyDescent="0.2">
      <c r="A118" t="s">
        <v>19</v>
      </c>
      <c r="B118" t="s">
        <v>80</v>
      </c>
      <c r="C118" s="1">
        <v>44695</v>
      </c>
      <c r="D118" s="2">
        <v>0.78819444444444453</v>
      </c>
      <c r="E118" s="1">
        <v>44696</v>
      </c>
      <c r="F118" s="2">
        <v>0.36944444444444446</v>
      </c>
      <c r="G118" s="3" t="s">
        <v>81</v>
      </c>
      <c r="H118" s="3" t="s">
        <v>82</v>
      </c>
      <c r="I118" t="s">
        <v>23</v>
      </c>
      <c r="J118">
        <v>8.3000000000000007</v>
      </c>
      <c r="L118" t="s">
        <v>24</v>
      </c>
      <c r="M118">
        <v>0</v>
      </c>
      <c r="N118" t="s">
        <v>24</v>
      </c>
      <c r="Q118" t="s">
        <v>25</v>
      </c>
      <c r="R118">
        <v>100</v>
      </c>
    </row>
    <row r="119" spans="1:19" x14ac:dyDescent="0.2">
      <c r="A119" t="s">
        <v>19</v>
      </c>
      <c r="B119" t="s">
        <v>83</v>
      </c>
      <c r="C119" s="1">
        <v>44695</v>
      </c>
      <c r="D119" s="2">
        <v>0.77500000000000002</v>
      </c>
      <c r="E119" s="1">
        <v>44696</v>
      </c>
      <c r="F119" s="2">
        <v>0.35347222222222219</v>
      </c>
      <c r="G119" s="3" t="s">
        <v>84</v>
      </c>
      <c r="H119" s="3" t="s">
        <v>85</v>
      </c>
      <c r="I119" t="s">
        <v>23</v>
      </c>
      <c r="J119">
        <v>7.4</v>
      </c>
      <c r="L119" t="s">
        <v>24</v>
      </c>
      <c r="M119">
        <v>0</v>
      </c>
      <c r="N119" t="s">
        <v>24</v>
      </c>
      <c r="Q119" t="s">
        <v>25</v>
      </c>
      <c r="R119">
        <v>200</v>
      </c>
    </row>
    <row r="120" spans="1:19" x14ac:dyDescent="0.2">
      <c r="A120" t="s">
        <v>19</v>
      </c>
      <c r="B120" t="s">
        <v>86</v>
      </c>
      <c r="C120" s="1">
        <v>44695</v>
      </c>
      <c r="D120" s="2">
        <v>0.78194444444444444</v>
      </c>
      <c r="E120" s="1">
        <v>44696</v>
      </c>
      <c r="F120" s="2">
        <v>0.3611111111111111</v>
      </c>
      <c r="G120" s="3" t="s">
        <v>87</v>
      </c>
      <c r="H120" s="3" t="s">
        <v>88</v>
      </c>
      <c r="I120" t="s">
        <v>23</v>
      </c>
      <c r="J120">
        <v>2.2999999999999998</v>
      </c>
      <c r="L120" t="s">
        <v>24</v>
      </c>
      <c r="M120">
        <v>0</v>
      </c>
      <c r="N120" t="s">
        <v>24</v>
      </c>
      <c r="Q120" t="s">
        <v>25</v>
      </c>
      <c r="R120" t="s">
        <v>24</v>
      </c>
    </row>
    <row r="121" spans="1:19" x14ac:dyDescent="0.2">
      <c r="A121" t="s">
        <v>19</v>
      </c>
      <c r="B121" t="s">
        <v>89</v>
      </c>
      <c r="C121" s="1">
        <v>44695</v>
      </c>
      <c r="D121" s="2">
        <v>0.78541666666666676</v>
      </c>
      <c r="E121" s="1">
        <v>44696</v>
      </c>
      <c r="F121" s="2">
        <v>0.36388888888888887</v>
      </c>
      <c r="G121" s="3" t="s">
        <v>90</v>
      </c>
      <c r="H121" s="3" t="s">
        <v>91</v>
      </c>
      <c r="I121" t="s">
        <v>23</v>
      </c>
      <c r="J121">
        <v>3.9</v>
      </c>
      <c r="L121" t="s">
        <v>24</v>
      </c>
      <c r="M121">
        <v>0</v>
      </c>
      <c r="N121" t="s">
        <v>24</v>
      </c>
      <c r="Q121" t="s">
        <v>25</v>
      </c>
      <c r="R121" t="s">
        <v>24</v>
      </c>
    </row>
    <row r="122" spans="1:19" x14ac:dyDescent="0.2">
      <c r="A122" t="s">
        <v>19</v>
      </c>
      <c r="B122" t="s">
        <v>92</v>
      </c>
      <c r="C122" s="1">
        <v>44696</v>
      </c>
      <c r="D122" s="2">
        <v>0.4375</v>
      </c>
      <c r="E122" s="1">
        <v>44697</v>
      </c>
      <c r="F122" s="2">
        <v>0.3833333333333333</v>
      </c>
      <c r="G122" s="3" t="s">
        <v>93</v>
      </c>
      <c r="H122" s="3" t="s">
        <v>94</v>
      </c>
      <c r="I122" t="s">
        <v>23</v>
      </c>
      <c r="J122">
        <v>7.8</v>
      </c>
      <c r="L122" t="s">
        <v>24</v>
      </c>
      <c r="M122">
        <v>0</v>
      </c>
      <c r="N122" t="s">
        <v>24</v>
      </c>
      <c r="Q122" t="s">
        <v>25</v>
      </c>
      <c r="R122">
        <v>120</v>
      </c>
      <c r="S122" t="s">
        <v>95</v>
      </c>
    </row>
    <row r="123" spans="1:19" x14ac:dyDescent="0.2">
      <c r="A123" t="s">
        <v>19</v>
      </c>
      <c r="B123" t="s">
        <v>96</v>
      </c>
      <c r="C123" s="1">
        <v>44696</v>
      </c>
      <c r="D123" s="2">
        <v>0.43055555555555558</v>
      </c>
      <c r="E123" s="1">
        <v>44697</v>
      </c>
      <c r="F123" s="2">
        <v>0.37638888888888888</v>
      </c>
      <c r="G123" s="3" t="s">
        <v>97</v>
      </c>
      <c r="H123" s="3" t="s">
        <v>98</v>
      </c>
      <c r="I123" t="s">
        <v>23</v>
      </c>
      <c r="J123">
        <v>5</v>
      </c>
      <c r="L123" t="s">
        <v>24</v>
      </c>
      <c r="M123">
        <v>0</v>
      </c>
      <c r="N123" t="s">
        <v>24</v>
      </c>
      <c r="Q123" t="s">
        <v>25</v>
      </c>
      <c r="R123">
        <v>150</v>
      </c>
    </row>
    <row r="124" spans="1:19" x14ac:dyDescent="0.2">
      <c r="A124" t="s">
        <v>19</v>
      </c>
      <c r="B124" t="s">
        <v>99</v>
      </c>
      <c r="C124" s="1">
        <v>44696</v>
      </c>
      <c r="D124" s="2">
        <v>0.4548611111111111</v>
      </c>
      <c r="E124" s="1">
        <v>44697</v>
      </c>
      <c r="F124" s="2">
        <v>0.41180555555555554</v>
      </c>
      <c r="G124" s="3" t="s">
        <v>100</v>
      </c>
      <c r="H124" s="3" t="s">
        <v>101</v>
      </c>
      <c r="I124" t="s">
        <v>23</v>
      </c>
      <c r="J124">
        <v>9</v>
      </c>
      <c r="L124" t="s">
        <v>24</v>
      </c>
      <c r="M124">
        <v>0</v>
      </c>
      <c r="N124" t="s">
        <v>24</v>
      </c>
      <c r="Q124" t="s">
        <v>25</v>
      </c>
      <c r="R124">
        <v>110</v>
      </c>
    </row>
    <row r="125" spans="1:19" x14ac:dyDescent="0.2">
      <c r="A125" t="s">
        <v>19</v>
      </c>
      <c r="B125" t="s">
        <v>102</v>
      </c>
      <c r="C125" s="1">
        <v>44696</v>
      </c>
      <c r="D125" s="2">
        <v>0.42708333333333331</v>
      </c>
      <c r="E125" s="1">
        <v>44697</v>
      </c>
      <c r="F125" s="2">
        <v>0.37083333333333335</v>
      </c>
      <c r="G125" s="3" t="s">
        <v>103</v>
      </c>
      <c r="H125" s="3" t="s">
        <v>104</v>
      </c>
      <c r="I125" t="s">
        <v>23</v>
      </c>
      <c r="J125">
        <v>4.2</v>
      </c>
      <c r="L125" t="s">
        <v>24</v>
      </c>
      <c r="M125">
        <v>0</v>
      </c>
      <c r="N125" t="s">
        <v>24</v>
      </c>
      <c r="Q125" t="s">
        <v>25</v>
      </c>
      <c r="R125">
        <v>160</v>
      </c>
    </row>
    <row r="126" spans="1:19" x14ac:dyDescent="0.2">
      <c r="A126" t="s">
        <v>19</v>
      </c>
      <c r="B126" t="s">
        <v>105</v>
      </c>
      <c r="C126" s="1">
        <v>44696</v>
      </c>
      <c r="D126" s="2">
        <v>0.44097222222222227</v>
      </c>
      <c r="E126" s="1">
        <v>44697</v>
      </c>
      <c r="F126" s="2">
        <v>0.38611111111111113</v>
      </c>
      <c r="G126" s="3" t="s">
        <v>106</v>
      </c>
      <c r="H126" s="3" t="s">
        <v>107</v>
      </c>
      <c r="I126" t="s">
        <v>23</v>
      </c>
      <c r="J126">
        <v>8.9</v>
      </c>
      <c r="L126" t="s">
        <v>24</v>
      </c>
      <c r="M126">
        <v>0</v>
      </c>
      <c r="N126" t="s">
        <v>24</v>
      </c>
      <c r="Q126" t="s">
        <v>25</v>
      </c>
      <c r="R126">
        <v>150</v>
      </c>
    </row>
    <row r="127" spans="1:19" x14ac:dyDescent="0.2">
      <c r="A127" t="s">
        <v>19</v>
      </c>
      <c r="B127" t="s">
        <v>108</v>
      </c>
      <c r="C127" s="1">
        <v>44696</v>
      </c>
      <c r="D127" s="2">
        <v>0.44513888888888892</v>
      </c>
      <c r="E127" s="1">
        <v>44697</v>
      </c>
      <c r="F127" s="2">
        <v>0.38958333333333334</v>
      </c>
      <c r="G127" s="3" t="s">
        <v>109</v>
      </c>
      <c r="H127" s="3" t="s">
        <v>110</v>
      </c>
      <c r="I127" t="s">
        <v>23</v>
      </c>
      <c r="J127">
        <v>4.7</v>
      </c>
      <c r="L127" t="s">
        <v>24</v>
      </c>
      <c r="M127">
        <v>0</v>
      </c>
      <c r="N127" t="s">
        <v>24</v>
      </c>
      <c r="Q127" t="s">
        <v>25</v>
      </c>
      <c r="R127">
        <v>150</v>
      </c>
    </row>
    <row r="128" spans="1:19" x14ac:dyDescent="0.2">
      <c r="A128" t="s">
        <v>19</v>
      </c>
      <c r="B128" t="s">
        <v>111</v>
      </c>
      <c r="C128" s="1">
        <v>44696</v>
      </c>
      <c r="D128" s="2">
        <v>0.4993055555555555</v>
      </c>
      <c r="E128" s="1">
        <v>44697</v>
      </c>
      <c r="F128" s="2">
        <v>0.41805555555555557</v>
      </c>
      <c r="G128" s="3" t="s">
        <v>112</v>
      </c>
      <c r="H128" s="3" t="s">
        <v>113</v>
      </c>
      <c r="I128" t="s">
        <v>23</v>
      </c>
      <c r="J128">
        <v>7.7</v>
      </c>
      <c r="L128" t="s">
        <v>24</v>
      </c>
      <c r="M128">
        <v>0</v>
      </c>
      <c r="N128" t="s">
        <v>24</v>
      </c>
      <c r="Q128" t="s">
        <v>25</v>
      </c>
      <c r="R128">
        <v>160</v>
      </c>
    </row>
    <row r="129" spans="1:19" x14ac:dyDescent="0.2">
      <c r="A129" t="s">
        <v>19</v>
      </c>
      <c r="B129" t="s">
        <v>114</v>
      </c>
      <c r="C129" s="1">
        <v>44696</v>
      </c>
      <c r="D129" s="2">
        <v>0.43333333333333335</v>
      </c>
      <c r="E129" s="1">
        <v>44697</v>
      </c>
      <c r="F129" s="2">
        <v>0.37986111111111115</v>
      </c>
      <c r="G129" s="3" t="s">
        <v>115</v>
      </c>
      <c r="H129" s="3" t="s">
        <v>116</v>
      </c>
      <c r="I129" t="s">
        <v>23</v>
      </c>
      <c r="J129">
        <v>5.3</v>
      </c>
      <c r="L129" t="s">
        <v>117</v>
      </c>
      <c r="M129">
        <v>1</v>
      </c>
      <c r="N129" t="s">
        <v>24</v>
      </c>
      <c r="Q129" t="s">
        <v>25</v>
      </c>
      <c r="R129">
        <v>130</v>
      </c>
    </row>
    <row r="130" spans="1:19" x14ac:dyDescent="0.2">
      <c r="A130" t="s">
        <v>19</v>
      </c>
      <c r="B130" t="s">
        <v>118</v>
      </c>
      <c r="C130" s="1">
        <v>44696</v>
      </c>
      <c r="D130" s="2">
        <v>0.50555555555555554</v>
      </c>
      <c r="E130" s="1">
        <v>44697</v>
      </c>
      <c r="F130" s="2">
        <v>0.42083333333333334</v>
      </c>
      <c r="G130" s="3" t="s">
        <v>119</v>
      </c>
      <c r="H130" s="3" t="s">
        <v>120</v>
      </c>
      <c r="I130" t="s">
        <v>23</v>
      </c>
      <c r="J130">
        <v>4.9000000000000004</v>
      </c>
      <c r="L130" t="s">
        <v>32</v>
      </c>
      <c r="M130">
        <v>1</v>
      </c>
      <c r="N130" t="s">
        <v>24</v>
      </c>
      <c r="Q130" t="s">
        <v>25</v>
      </c>
      <c r="R130">
        <v>150</v>
      </c>
      <c r="S130" t="s">
        <v>121</v>
      </c>
    </row>
    <row r="131" spans="1:19" x14ac:dyDescent="0.2">
      <c r="A131" t="s">
        <v>19</v>
      </c>
      <c r="B131" t="s">
        <v>122</v>
      </c>
      <c r="C131" s="1">
        <v>44696</v>
      </c>
      <c r="D131" s="2">
        <v>0.45208333333333334</v>
      </c>
      <c r="E131" s="1">
        <v>44697</v>
      </c>
      <c r="F131" s="2">
        <v>0.39652777777777781</v>
      </c>
      <c r="G131" s="3" t="s">
        <v>123</v>
      </c>
      <c r="H131" s="3" t="s">
        <v>124</v>
      </c>
      <c r="I131" t="s">
        <v>23</v>
      </c>
      <c r="J131">
        <v>5.0999999999999996</v>
      </c>
      <c r="L131" t="s">
        <v>24</v>
      </c>
      <c r="M131">
        <v>0</v>
      </c>
      <c r="N131" t="s">
        <v>24</v>
      </c>
      <c r="Q131" t="s">
        <v>25</v>
      </c>
      <c r="R131">
        <v>150</v>
      </c>
      <c r="S131" t="s">
        <v>125</v>
      </c>
    </row>
    <row r="132" spans="1:19" x14ac:dyDescent="0.2">
      <c r="A132" t="s">
        <v>19</v>
      </c>
      <c r="B132" t="s">
        <v>126</v>
      </c>
      <c r="C132" s="1">
        <v>44696</v>
      </c>
      <c r="D132" s="2">
        <v>0.49236111111111108</v>
      </c>
      <c r="E132" s="1">
        <v>44697</v>
      </c>
      <c r="F132" s="2">
        <v>0.4152777777777778</v>
      </c>
      <c r="G132" s="3" t="s">
        <v>127</v>
      </c>
      <c r="H132" s="3" t="s">
        <v>128</v>
      </c>
      <c r="I132" t="s">
        <v>23</v>
      </c>
      <c r="J132">
        <v>4</v>
      </c>
      <c r="L132" t="s">
        <v>24</v>
      </c>
      <c r="M132">
        <v>0</v>
      </c>
      <c r="N132" t="s">
        <v>24</v>
      </c>
      <c r="Q132" t="s">
        <v>25</v>
      </c>
      <c r="R132">
        <v>150</v>
      </c>
      <c r="S132" t="s">
        <v>129</v>
      </c>
    </row>
    <row r="133" spans="1:19" x14ac:dyDescent="0.2">
      <c r="A133" t="s">
        <v>19</v>
      </c>
      <c r="B133" t="s">
        <v>130</v>
      </c>
      <c r="C133" s="1">
        <v>44696</v>
      </c>
      <c r="D133" s="2">
        <v>0.44861111111111113</v>
      </c>
      <c r="E133" s="1">
        <v>44697</v>
      </c>
      <c r="F133" s="2">
        <v>0.3923611111111111</v>
      </c>
      <c r="G133" s="3" t="s">
        <v>131</v>
      </c>
      <c r="H133" s="3" t="s">
        <v>132</v>
      </c>
      <c r="I133" t="s">
        <v>23</v>
      </c>
      <c r="J133">
        <v>8.4</v>
      </c>
      <c r="L133" t="s">
        <v>24</v>
      </c>
      <c r="M133">
        <v>0</v>
      </c>
      <c r="N133" t="s">
        <v>24</v>
      </c>
      <c r="Q133" t="s">
        <v>25</v>
      </c>
      <c r="R133">
        <v>150</v>
      </c>
    </row>
    <row r="134" spans="1:19" x14ac:dyDescent="0.2">
      <c r="A134" t="s">
        <v>19</v>
      </c>
      <c r="B134" t="s">
        <v>133</v>
      </c>
      <c r="C134" s="1">
        <v>44696</v>
      </c>
      <c r="D134" s="2">
        <v>0.53125</v>
      </c>
      <c r="E134" s="1">
        <v>44697</v>
      </c>
      <c r="F134" s="2">
        <v>0.46875</v>
      </c>
      <c r="G134" s="3" t="s">
        <v>134</v>
      </c>
      <c r="H134" s="3" t="s">
        <v>135</v>
      </c>
      <c r="I134" t="s">
        <v>23</v>
      </c>
      <c r="J134">
        <v>3.4</v>
      </c>
      <c r="L134" t="s">
        <v>24</v>
      </c>
      <c r="M134">
        <v>0</v>
      </c>
      <c r="N134" t="s">
        <v>24</v>
      </c>
      <c r="Q134" t="s">
        <v>25</v>
      </c>
      <c r="R134">
        <v>180</v>
      </c>
    </row>
    <row r="135" spans="1:19" x14ac:dyDescent="0.2">
      <c r="A135" t="s">
        <v>19</v>
      </c>
      <c r="B135" t="s">
        <v>136</v>
      </c>
      <c r="C135" s="1">
        <v>44696</v>
      </c>
      <c r="D135" s="2">
        <v>0.51666666666666672</v>
      </c>
      <c r="E135" s="1">
        <v>44697</v>
      </c>
      <c r="F135" s="2">
        <v>0.44027777777777777</v>
      </c>
      <c r="G135" s="3" t="s">
        <v>137</v>
      </c>
      <c r="H135" s="3" t="s">
        <v>138</v>
      </c>
      <c r="I135" t="s">
        <v>23</v>
      </c>
      <c r="J135">
        <v>9.4</v>
      </c>
      <c r="L135" t="s">
        <v>24</v>
      </c>
      <c r="M135">
        <v>0</v>
      </c>
      <c r="N135" t="s">
        <v>24</v>
      </c>
      <c r="Q135" t="s">
        <v>25</v>
      </c>
      <c r="R135">
        <v>200</v>
      </c>
    </row>
    <row r="136" spans="1:19" x14ac:dyDescent="0.2">
      <c r="A136" t="s">
        <v>19</v>
      </c>
      <c r="B136" t="s">
        <v>80</v>
      </c>
      <c r="C136" s="1">
        <v>44696</v>
      </c>
      <c r="D136" s="2">
        <v>0.52638888888888891</v>
      </c>
      <c r="E136" s="1">
        <v>44697</v>
      </c>
      <c r="F136" s="2">
        <v>0.46597222222222223</v>
      </c>
      <c r="G136" s="3" t="s">
        <v>81</v>
      </c>
      <c r="H136" s="3" t="s">
        <v>82</v>
      </c>
      <c r="I136" t="s">
        <v>23</v>
      </c>
      <c r="J136">
        <v>7.9</v>
      </c>
      <c r="L136" t="s">
        <v>117</v>
      </c>
      <c r="M136">
        <v>1</v>
      </c>
      <c r="N136" t="s">
        <v>24</v>
      </c>
      <c r="Q136" t="s">
        <v>25</v>
      </c>
      <c r="R136">
        <v>150</v>
      </c>
    </row>
    <row r="137" spans="1:19" x14ac:dyDescent="0.2">
      <c r="A137" t="s">
        <v>19</v>
      </c>
      <c r="B137" t="s">
        <v>139</v>
      </c>
      <c r="C137" s="1">
        <v>44696</v>
      </c>
      <c r="D137" s="2">
        <v>0.51111111111111118</v>
      </c>
      <c r="E137" s="1">
        <v>44697</v>
      </c>
      <c r="F137" s="2">
        <v>0.43611111111111112</v>
      </c>
      <c r="G137" s="3" t="s">
        <v>140</v>
      </c>
      <c r="H137" s="3" t="s">
        <v>141</v>
      </c>
      <c r="I137" t="s">
        <v>23</v>
      </c>
      <c r="J137">
        <v>9.6</v>
      </c>
      <c r="L137" t="s">
        <v>24</v>
      </c>
      <c r="M137">
        <v>0</v>
      </c>
      <c r="N137" t="s">
        <v>24</v>
      </c>
      <c r="Q137" t="s">
        <v>25</v>
      </c>
      <c r="R137">
        <v>120</v>
      </c>
    </row>
    <row r="138" spans="1:19" x14ac:dyDescent="0.2">
      <c r="A138" t="s">
        <v>19</v>
      </c>
      <c r="B138" t="s">
        <v>142</v>
      </c>
      <c r="C138" s="1">
        <v>44697</v>
      </c>
      <c r="D138" s="2">
        <v>0.68680555555555556</v>
      </c>
      <c r="E138" s="1">
        <v>44698</v>
      </c>
      <c r="F138" s="2">
        <v>0.36736111111111108</v>
      </c>
      <c r="G138" s="3" t="s">
        <v>143</v>
      </c>
      <c r="H138" s="3" t="s">
        <v>144</v>
      </c>
      <c r="I138" t="s">
        <v>23</v>
      </c>
      <c r="J138">
        <v>6.6</v>
      </c>
      <c r="L138" t="s">
        <v>24</v>
      </c>
      <c r="M138">
        <v>0</v>
      </c>
      <c r="N138" t="s">
        <v>24</v>
      </c>
      <c r="Q138" t="s">
        <v>25</v>
      </c>
      <c r="R138">
        <v>200</v>
      </c>
    </row>
    <row r="139" spans="1:19" x14ac:dyDescent="0.2">
      <c r="A139" t="s">
        <v>19</v>
      </c>
      <c r="B139" t="s">
        <v>148</v>
      </c>
      <c r="C139" s="1">
        <v>44697</v>
      </c>
      <c r="D139" s="2">
        <v>0.64027777777777783</v>
      </c>
      <c r="E139" s="1">
        <v>44698</v>
      </c>
      <c r="F139" s="2">
        <v>0.45555555555555555</v>
      </c>
      <c r="G139" s="3" t="s">
        <v>149</v>
      </c>
      <c r="H139" s="3" t="s">
        <v>150</v>
      </c>
      <c r="I139" t="s">
        <v>23</v>
      </c>
      <c r="J139">
        <v>6.4</v>
      </c>
      <c r="L139" t="s">
        <v>24</v>
      </c>
      <c r="M139">
        <v>0</v>
      </c>
      <c r="N139" t="s">
        <v>24</v>
      </c>
      <c r="Q139" t="s">
        <v>25</v>
      </c>
      <c r="R139">
        <v>150</v>
      </c>
    </row>
    <row r="140" spans="1:19" x14ac:dyDescent="0.2">
      <c r="A140" t="s">
        <v>19</v>
      </c>
      <c r="B140" t="s">
        <v>151</v>
      </c>
      <c r="C140" s="1">
        <v>44697</v>
      </c>
      <c r="D140" s="2">
        <v>0.6430555555555556</v>
      </c>
      <c r="E140" s="1">
        <v>44698</v>
      </c>
      <c r="F140" s="2">
        <v>0.45694444444444443</v>
      </c>
      <c r="G140" s="3" t="s">
        <v>152</v>
      </c>
      <c r="H140" s="3" t="s">
        <v>153</v>
      </c>
      <c r="I140" t="s">
        <v>23</v>
      </c>
      <c r="J140">
        <v>6.3</v>
      </c>
      <c r="L140" t="s">
        <v>117</v>
      </c>
      <c r="M140">
        <v>1</v>
      </c>
      <c r="N140" t="s">
        <v>24</v>
      </c>
      <c r="Q140" t="s">
        <v>25</v>
      </c>
      <c r="R140">
        <v>100</v>
      </c>
    </row>
    <row r="141" spans="1:19" x14ac:dyDescent="0.2">
      <c r="A141" t="s">
        <v>19</v>
      </c>
      <c r="B141" t="s">
        <v>154</v>
      </c>
      <c r="C141" s="1">
        <v>44697</v>
      </c>
      <c r="D141" s="2">
        <v>0.6645833333333333</v>
      </c>
      <c r="E141" s="1">
        <v>44698</v>
      </c>
      <c r="F141" s="2">
        <v>0.3840277777777778</v>
      </c>
      <c r="G141" s="3" t="s">
        <v>155</v>
      </c>
      <c r="H141" s="3" t="s">
        <v>156</v>
      </c>
      <c r="I141" t="s">
        <v>23</v>
      </c>
      <c r="J141">
        <v>8.1</v>
      </c>
      <c r="L141" t="s">
        <v>24</v>
      </c>
      <c r="M141">
        <v>0</v>
      </c>
      <c r="N141" t="s">
        <v>24</v>
      </c>
      <c r="Q141" t="s">
        <v>25</v>
      </c>
      <c r="R141">
        <v>130</v>
      </c>
    </row>
    <row r="142" spans="1:19" x14ac:dyDescent="0.2">
      <c r="A142" t="s">
        <v>19</v>
      </c>
      <c r="B142" t="s">
        <v>157</v>
      </c>
      <c r="C142" s="1">
        <v>44697</v>
      </c>
      <c r="D142" s="2">
        <v>0.62638888888888888</v>
      </c>
      <c r="E142" s="1">
        <v>44698</v>
      </c>
      <c r="F142" s="2">
        <v>0.44930555555555557</v>
      </c>
      <c r="G142" s="3" t="s">
        <v>158</v>
      </c>
      <c r="H142" s="3" t="s">
        <v>159</v>
      </c>
      <c r="I142" t="s">
        <v>23</v>
      </c>
      <c r="J142">
        <v>9.5</v>
      </c>
      <c r="L142" t="s">
        <v>24</v>
      </c>
      <c r="M142">
        <v>0</v>
      </c>
      <c r="N142" t="s">
        <v>24</v>
      </c>
      <c r="Q142" t="s">
        <v>25</v>
      </c>
      <c r="R142">
        <v>150</v>
      </c>
    </row>
    <row r="143" spans="1:19" x14ac:dyDescent="0.2">
      <c r="A143" t="s">
        <v>19</v>
      </c>
      <c r="B143" t="s">
        <v>160</v>
      </c>
      <c r="C143" s="1">
        <v>44697</v>
      </c>
      <c r="D143" s="2">
        <v>0.6694444444444444</v>
      </c>
      <c r="E143" s="1">
        <v>44698</v>
      </c>
      <c r="F143" s="2">
        <v>0.3743055555555555</v>
      </c>
      <c r="G143" s="3" t="s">
        <v>161</v>
      </c>
      <c r="H143" s="3" t="s">
        <v>162</v>
      </c>
      <c r="I143" t="s">
        <v>23</v>
      </c>
      <c r="J143">
        <v>4.4000000000000004</v>
      </c>
      <c r="L143" t="s">
        <v>24</v>
      </c>
      <c r="M143">
        <v>0</v>
      </c>
      <c r="N143" t="s">
        <v>24</v>
      </c>
      <c r="Q143" t="s">
        <v>25</v>
      </c>
      <c r="R143">
        <v>100</v>
      </c>
    </row>
    <row r="144" spans="1:19" x14ac:dyDescent="0.2">
      <c r="A144" t="s">
        <v>19</v>
      </c>
      <c r="B144" t="s">
        <v>163</v>
      </c>
      <c r="C144" s="1">
        <v>44697</v>
      </c>
      <c r="D144" s="2">
        <v>0.65486111111111112</v>
      </c>
      <c r="E144" s="1">
        <v>44698</v>
      </c>
      <c r="F144" s="2">
        <v>0.47430555555555554</v>
      </c>
      <c r="G144" s="3" t="s">
        <v>164</v>
      </c>
      <c r="H144" s="3" t="s">
        <v>165</v>
      </c>
      <c r="I144" t="s">
        <v>23</v>
      </c>
      <c r="J144">
        <v>5.3</v>
      </c>
      <c r="L144" t="s">
        <v>24</v>
      </c>
      <c r="M144">
        <v>0</v>
      </c>
      <c r="N144" t="s">
        <v>24</v>
      </c>
      <c r="Q144" t="s">
        <v>25</v>
      </c>
      <c r="R144">
        <v>150</v>
      </c>
    </row>
    <row r="145" spans="1:19" x14ac:dyDescent="0.2">
      <c r="A145" t="s">
        <v>19</v>
      </c>
      <c r="B145" t="s">
        <v>170</v>
      </c>
      <c r="C145" s="1">
        <v>44697</v>
      </c>
      <c r="D145" s="2">
        <v>0.63472222222222219</v>
      </c>
      <c r="E145" s="1">
        <v>44698</v>
      </c>
      <c r="F145" s="2">
        <v>0.45277777777777778</v>
      </c>
      <c r="G145" s="3" t="s">
        <v>171</v>
      </c>
      <c r="H145" s="3" t="s">
        <v>172</v>
      </c>
      <c r="I145" t="s">
        <v>23</v>
      </c>
      <c r="J145">
        <v>2.9</v>
      </c>
      <c r="L145" t="s">
        <v>24</v>
      </c>
      <c r="M145">
        <v>0</v>
      </c>
      <c r="N145" t="s">
        <v>24</v>
      </c>
      <c r="Q145" t="s">
        <v>25</v>
      </c>
      <c r="R145">
        <v>100</v>
      </c>
    </row>
    <row r="146" spans="1:19" x14ac:dyDescent="0.2">
      <c r="A146" t="s">
        <v>19</v>
      </c>
      <c r="B146" t="s">
        <v>173</v>
      </c>
      <c r="C146" s="1">
        <v>44697</v>
      </c>
      <c r="D146" s="2">
        <v>0.63055555555555554</v>
      </c>
      <c r="E146" s="1">
        <v>44698</v>
      </c>
      <c r="F146" s="2">
        <v>0.44305555555555554</v>
      </c>
      <c r="G146" s="3" t="s">
        <v>174</v>
      </c>
      <c r="H146" s="3" t="s">
        <v>175</v>
      </c>
      <c r="I146" t="s">
        <v>23</v>
      </c>
      <c r="J146">
        <v>9.1</v>
      </c>
      <c r="L146" t="s">
        <v>24</v>
      </c>
      <c r="M146">
        <v>0</v>
      </c>
      <c r="N146" t="s">
        <v>24</v>
      </c>
      <c r="Q146" t="s">
        <v>25</v>
      </c>
      <c r="R146">
        <v>100</v>
      </c>
    </row>
    <row r="147" spans="1:19" x14ac:dyDescent="0.2">
      <c r="A147" t="s">
        <v>19</v>
      </c>
      <c r="B147" t="s">
        <v>176</v>
      </c>
      <c r="C147" s="1">
        <v>44697</v>
      </c>
      <c r="D147" s="2">
        <v>0.6743055555555556</v>
      </c>
      <c r="E147" s="1">
        <v>44698</v>
      </c>
      <c r="F147" s="2">
        <v>0.38055555555555554</v>
      </c>
      <c r="G147" s="3" t="s">
        <v>177</v>
      </c>
      <c r="H147" s="3" t="s">
        <v>178</v>
      </c>
      <c r="I147" t="s">
        <v>23</v>
      </c>
      <c r="J147">
        <v>5.5</v>
      </c>
      <c r="L147" t="s">
        <v>24</v>
      </c>
      <c r="M147">
        <v>0</v>
      </c>
      <c r="N147" t="s">
        <v>24</v>
      </c>
      <c r="O147" s="10"/>
      <c r="P147" s="10"/>
      <c r="Q147" t="s">
        <v>25</v>
      </c>
      <c r="R147">
        <v>150</v>
      </c>
    </row>
    <row r="148" spans="1:19" x14ac:dyDescent="0.2">
      <c r="A148" t="s">
        <v>19</v>
      </c>
      <c r="B148" t="s">
        <v>179</v>
      </c>
      <c r="C148" s="1">
        <v>44697</v>
      </c>
      <c r="D148" s="2">
        <v>0.64652777777777781</v>
      </c>
      <c r="E148" s="1">
        <v>44698</v>
      </c>
      <c r="F148" s="2">
        <v>0.46111111111111108</v>
      </c>
      <c r="G148" s="3" t="s">
        <v>180</v>
      </c>
      <c r="H148" s="3" t="s">
        <v>181</v>
      </c>
      <c r="I148" t="s">
        <v>23</v>
      </c>
      <c r="J148">
        <v>5.3</v>
      </c>
      <c r="L148" t="s">
        <v>24</v>
      </c>
      <c r="M148">
        <v>0</v>
      </c>
      <c r="N148" t="s">
        <v>24</v>
      </c>
      <c r="Q148" t="s">
        <v>25</v>
      </c>
      <c r="R148">
        <v>200</v>
      </c>
    </row>
    <row r="149" spans="1:19" x14ac:dyDescent="0.2">
      <c r="A149" t="s">
        <v>19</v>
      </c>
      <c r="B149" t="s">
        <v>182</v>
      </c>
      <c r="C149" s="1">
        <v>44697</v>
      </c>
      <c r="D149" s="2">
        <v>0.69166666666666676</v>
      </c>
      <c r="E149" s="1">
        <v>44698</v>
      </c>
      <c r="F149" s="2">
        <v>0.37013888888888885</v>
      </c>
      <c r="G149" s="3" t="s">
        <v>183</v>
      </c>
      <c r="H149" s="3" t="s">
        <v>184</v>
      </c>
      <c r="I149" t="s">
        <v>23</v>
      </c>
      <c r="J149">
        <v>5.3</v>
      </c>
      <c r="L149" t="s">
        <v>24</v>
      </c>
      <c r="M149">
        <v>0</v>
      </c>
      <c r="N149" t="s">
        <v>24</v>
      </c>
      <c r="Q149" t="s">
        <v>25</v>
      </c>
      <c r="R149">
        <v>130</v>
      </c>
    </row>
    <row r="150" spans="1:19" x14ac:dyDescent="0.2">
      <c r="A150" t="s">
        <v>19</v>
      </c>
      <c r="B150" t="s">
        <v>185</v>
      </c>
      <c r="C150" s="1">
        <v>44697</v>
      </c>
      <c r="D150" s="2">
        <v>0.66041666666666665</v>
      </c>
      <c r="E150" s="1">
        <v>44698</v>
      </c>
      <c r="F150" s="2">
        <v>0.47986111111111113</v>
      </c>
      <c r="G150" s="3" t="s">
        <v>186</v>
      </c>
      <c r="H150" s="3" t="s">
        <v>187</v>
      </c>
      <c r="I150" t="s">
        <v>23</v>
      </c>
      <c r="J150">
        <v>5.6</v>
      </c>
      <c r="L150" t="s">
        <v>24</v>
      </c>
      <c r="M150">
        <v>0</v>
      </c>
      <c r="N150" t="s">
        <v>24</v>
      </c>
      <c r="Q150" t="s">
        <v>25</v>
      </c>
      <c r="R150">
        <v>150</v>
      </c>
    </row>
    <row r="151" spans="1:19" x14ac:dyDescent="0.2">
      <c r="A151" t="s">
        <v>19</v>
      </c>
      <c r="B151" t="s">
        <v>188</v>
      </c>
      <c r="C151" s="1">
        <v>44697</v>
      </c>
      <c r="D151" s="2">
        <v>0.68194444444444446</v>
      </c>
      <c r="E151" s="1">
        <v>44698</v>
      </c>
      <c r="F151" s="2">
        <v>0.36249999999999999</v>
      </c>
      <c r="G151" s="3" t="s">
        <v>189</v>
      </c>
      <c r="H151" s="3" t="s">
        <v>190</v>
      </c>
      <c r="I151" t="s">
        <v>23</v>
      </c>
      <c r="J151">
        <v>3.5</v>
      </c>
      <c r="L151" t="s">
        <v>24</v>
      </c>
      <c r="M151">
        <v>0</v>
      </c>
      <c r="N151" t="s">
        <v>24</v>
      </c>
      <c r="Q151" t="s">
        <v>25</v>
      </c>
      <c r="R151">
        <v>150</v>
      </c>
    </row>
    <row r="152" spans="1:19" x14ac:dyDescent="0.2">
      <c r="A152" t="s">
        <v>19</v>
      </c>
      <c r="B152" t="s">
        <v>77</v>
      </c>
      <c r="C152" s="1">
        <v>44698</v>
      </c>
      <c r="D152" s="2">
        <v>0.54027777777777775</v>
      </c>
      <c r="E152" s="1">
        <v>44699</v>
      </c>
      <c r="F152" s="2">
        <v>0.66041666666666665</v>
      </c>
      <c r="G152" s="3" t="s">
        <v>78</v>
      </c>
      <c r="H152" s="3" t="s">
        <v>79</v>
      </c>
      <c r="I152" t="s">
        <v>23</v>
      </c>
      <c r="J152">
        <v>9.6</v>
      </c>
      <c r="L152" t="s">
        <v>24</v>
      </c>
      <c r="M152">
        <v>0</v>
      </c>
      <c r="N152" t="s">
        <v>24</v>
      </c>
      <c r="Q152" t="s">
        <v>25</v>
      </c>
      <c r="R152" t="s">
        <v>24</v>
      </c>
    </row>
    <row r="153" spans="1:19" x14ac:dyDescent="0.2">
      <c r="A153" t="s">
        <v>19</v>
      </c>
      <c r="B153" t="s">
        <v>191</v>
      </c>
      <c r="C153" s="1">
        <v>44698</v>
      </c>
      <c r="D153" s="2">
        <v>0.51388888888888895</v>
      </c>
      <c r="E153" s="1">
        <v>44699</v>
      </c>
      <c r="G153" s="3" t="s">
        <v>192</v>
      </c>
      <c r="H153" s="3" t="s">
        <v>193</v>
      </c>
      <c r="I153" t="s">
        <v>23</v>
      </c>
      <c r="J153">
        <v>7.2</v>
      </c>
      <c r="L153" t="s">
        <v>24</v>
      </c>
      <c r="M153">
        <v>0</v>
      </c>
      <c r="N153" t="s">
        <v>24</v>
      </c>
      <c r="Q153" t="s">
        <v>25</v>
      </c>
      <c r="R153" t="s">
        <v>24</v>
      </c>
      <c r="S153" t="s">
        <v>194</v>
      </c>
    </row>
    <row r="154" spans="1:19" x14ac:dyDescent="0.2">
      <c r="A154" t="s">
        <v>19</v>
      </c>
      <c r="B154" t="s">
        <v>195</v>
      </c>
      <c r="C154" s="1">
        <v>44698</v>
      </c>
      <c r="D154" s="2">
        <v>0.53125</v>
      </c>
      <c r="E154" s="1">
        <v>44699</v>
      </c>
      <c r="F154" s="2">
        <v>0.66736111111111107</v>
      </c>
      <c r="G154" s="3" t="s">
        <v>196</v>
      </c>
      <c r="H154" s="3" t="s">
        <v>197</v>
      </c>
      <c r="I154" t="s">
        <v>23</v>
      </c>
      <c r="J154">
        <v>6.7</v>
      </c>
      <c r="L154" t="s">
        <v>24</v>
      </c>
      <c r="M154">
        <v>0</v>
      </c>
      <c r="N154" t="s">
        <v>24</v>
      </c>
      <c r="Q154" t="s">
        <v>25</v>
      </c>
      <c r="R154" t="s">
        <v>24</v>
      </c>
    </row>
    <row r="155" spans="1:19" x14ac:dyDescent="0.2">
      <c r="A155" t="s">
        <v>19</v>
      </c>
      <c r="B155" t="s">
        <v>198</v>
      </c>
      <c r="C155" s="1">
        <v>44698</v>
      </c>
      <c r="D155" s="2">
        <v>0.50347222222222221</v>
      </c>
      <c r="E155" s="1">
        <v>44699</v>
      </c>
      <c r="F155" s="2">
        <v>0.6777777777777777</v>
      </c>
      <c r="G155" s="3" t="s">
        <v>199</v>
      </c>
      <c r="H155" s="3" t="s">
        <v>200</v>
      </c>
      <c r="I155" t="s">
        <v>23</v>
      </c>
      <c r="J155">
        <v>4.5</v>
      </c>
      <c r="L155" t="s">
        <v>24</v>
      </c>
      <c r="M155">
        <v>0</v>
      </c>
      <c r="N155" t="s">
        <v>24</v>
      </c>
      <c r="Q155" t="s">
        <v>25</v>
      </c>
      <c r="R155">
        <v>150</v>
      </c>
    </row>
    <row r="156" spans="1:19" x14ac:dyDescent="0.2">
      <c r="A156" t="s">
        <v>19</v>
      </c>
      <c r="B156" t="s">
        <v>220</v>
      </c>
      <c r="C156" s="1">
        <v>44698</v>
      </c>
      <c r="D156" s="2">
        <v>0.41111111111111115</v>
      </c>
      <c r="E156" s="1">
        <v>44700</v>
      </c>
      <c r="F156" s="2">
        <v>0.3576388888888889</v>
      </c>
      <c r="G156" s="3" t="s">
        <v>221</v>
      </c>
      <c r="H156" s="3" t="s">
        <v>222</v>
      </c>
      <c r="I156" t="s">
        <v>23</v>
      </c>
      <c r="J156">
        <v>3.6</v>
      </c>
      <c r="L156" t="s">
        <v>24</v>
      </c>
      <c r="M156">
        <v>0</v>
      </c>
      <c r="N156" t="s">
        <v>24</v>
      </c>
      <c r="Q156" t="s">
        <v>25</v>
      </c>
      <c r="R156">
        <v>200</v>
      </c>
    </row>
    <row r="157" spans="1:19" x14ac:dyDescent="0.2">
      <c r="A157" t="s">
        <v>19</v>
      </c>
      <c r="B157" t="s">
        <v>223</v>
      </c>
      <c r="C157" s="1">
        <v>44698</v>
      </c>
      <c r="D157" s="2">
        <v>0.42986111111111108</v>
      </c>
      <c r="E157" s="1">
        <v>44700</v>
      </c>
      <c r="F157" s="2">
        <v>0.3979166666666667</v>
      </c>
      <c r="G157" s="3" t="s">
        <v>224</v>
      </c>
      <c r="H157" s="3" t="s">
        <v>225</v>
      </c>
      <c r="I157" t="s">
        <v>23</v>
      </c>
      <c r="J157">
        <v>9.1999999999999993</v>
      </c>
      <c r="L157" t="s">
        <v>24</v>
      </c>
      <c r="M157">
        <v>0</v>
      </c>
      <c r="N157" t="s">
        <v>24</v>
      </c>
      <c r="Q157" t="s">
        <v>25</v>
      </c>
      <c r="R157">
        <v>200</v>
      </c>
    </row>
    <row r="158" spans="1:19" x14ac:dyDescent="0.2">
      <c r="A158" t="s">
        <v>19</v>
      </c>
      <c r="B158" t="s">
        <v>201</v>
      </c>
      <c r="C158" s="1">
        <v>44698</v>
      </c>
      <c r="D158" s="2">
        <v>0.52430555555555558</v>
      </c>
      <c r="E158" s="1">
        <v>44699</v>
      </c>
      <c r="F158" s="2">
        <v>0.67083333333333339</v>
      </c>
      <c r="G158" s="3" t="s">
        <v>202</v>
      </c>
      <c r="H158" s="3" t="s">
        <v>203</v>
      </c>
      <c r="I158" t="s">
        <v>23</v>
      </c>
      <c r="J158">
        <v>7</v>
      </c>
      <c r="L158" t="s">
        <v>24</v>
      </c>
      <c r="M158">
        <v>0</v>
      </c>
      <c r="N158" t="s">
        <v>24</v>
      </c>
      <c r="Q158" t="s">
        <v>25</v>
      </c>
      <c r="R158" t="s">
        <v>24</v>
      </c>
    </row>
    <row r="159" spans="1:19" x14ac:dyDescent="0.2">
      <c r="A159" t="s">
        <v>19</v>
      </c>
      <c r="B159" t="s">
        <v>226</v>
      </c>
      <c r="C159" s="1">
        <v>44698</v>
      </c>
      <c r="D159" s="2">
        <v>0.43194444444444446</v>
      </c>
      <c r="E159" s="1">
        <v>44700</v>
      </c>
      <c r="F159" s="2">
        <v>0.40069444444444446</v>
      </c>
      <c r="G159" s="3" t="s">
        <v>227</v>
      </c>
      <c r="H159" s="3" t="s">
        <v>228</v>
      </c>
      <c r="I159" t="s">
        <v>23</v>
      </c>
      <c r="J159">
        <v>9.5</v>
      </c>
      <c r="L159" t="s">
        <v>24</v>
      </c>
      <c r="M159">
        <v>0</v>
      </c>
      <c r="N159" t="s">
        <v>24</v>
      </c>
      <c r="Q159" t="s">
        <v>25</v>
      </c>
      <c r="R159">
        <v>200</v>
      </c>
    </row>
    <row r="160" spans="1:19" x14ac:dyDescent="0.2">
      <c r="A160" t="s">
        <v>19</v>
      </c>
      <c r="B160" t="s">
        <v>229</v>
      </c>
      <c r="C160" s="1">
        <v>44698</v>
      </c>
      <c r="D160" s="2">
        <v>0.4236111111111111</v>
      </c>
      <c r="E160" s="1">
        <v>44700</v>
      </c>
      <c r="F160" s="2">
        <v>0.37708333333333338</v>
      </c>
      <c r="G160" s="3" t="s">
        <v>230</v>
      </c>
      <c r="H160" s="3" t="s">
        <v>231</v>
      </c>
      <c r="I160" t="s">
        <v>23</v>
      </c>
      <c r="J160">
        <v>8.6</v>
      </c>
      <c r="L160" t="s">
        <v>24</v>
      </c>
      <c r="M160">
        <v>0</v>
      </c>
      <c r="N160" t="s">
        <v>24</v>
      </c>
      <c r="Q160" t="s">
        <v>25</v>
      </c>
      <c r="R160">
        <v>200</v>
      </c>
    </row>
    <row r="161" spans="1:18" x14ac:dyDescent="0.2">
      <c r="A161" t="s">
        <v>19</v>
      </c>
      <c r="B161" t="s">
        <v>204</v>
      </c>
      <c r="C161" s="1">
        <v>44698</v>
      </c>
      <c r="D161" s="2">
        <v>0.5083333333333333</v>
      </c>
      <c r="E161" s="1">
        <v>44699</v>
      </c>
      <c r="F161" s="2">
        <v>0.68472222222222223</v>
      </c>
      <c r="G161" s="3" t="s">
        <v>205</v>
      </c>
      <c r="H161" s="3" t="s">
        <v>206</v>
      </c>
      <c r="I161" t="s">
        <v>23</v>
      </c>
      <c r="J161">
        <v>4.0999999999999996</v>
      </c>
      <c r="L161" t="s">
        <v>24</v>
      </c>
      <c r="M161">
        <v>0</v>
      </c>
      <c r="N161" t="s">
        <v>24</v>
      </c>
      <c r="Q161" t="s">
        <v>25</v>
      </c>
      <c r="R161">
        <v>150</v>
      </c>
    </row>
    <row r="162" spans="1:18" x14ac:dyDescent="0.2">
      <c r="A162" t="s">
        <v>19</v>
      </c>
      <c r="B162" t="s">
        <v>207</v>
      </c>
      <c r="C162" s="1">
        <v>44698</v>
      </c>
      <c r="D162" s="2">
        <v>0.51111111111111118</v>
      </c>
      <c r="E162" s="1">
        <v>44699</v>
      </c>
      <c r="F162" s="2">
        <v>0.6875</v>
      </c>
      <c r="G162" s="3" t="s">
        <v>208</v>
      </c>
      <c r="H162" s="3" t="s">
        <v>209</v>
      </c>
      <c r="I162" t="s">
        <v>23</v>
      </c>
      <c r="J162">
        <v>9.6999999999999993</v>
      </c>
      <c r="L162" t="s">
        <v>24</v>
      </c>
      <c r="M162">
        <v>0</v>
      </c>
      <c r="N162" t="s">
        <v>24</v>
      </c>
      <c r="Q162" t="s">
        <v>25</v>
      </c>
      <c r="R162">
        <v>200</v>
      </c>
    </row>
    <row r="163" spans="1:18" x14ac:dyDescent="0.2">
      <c r="A163" t="s">
        <v>19</v>
      </c>
      <c r="B163" t="s">
        <v>236</v>
      </c>
      <c r="C163" s="1">
        <v>44698</v>
      </c>
      <c r="D163" s="2">
        <v>0.5</v>
      </c>
      <c r="E163" s="1">
        <v>44700</v>
      </c>
      <c r="F163" s="2">
        <v>0.40486111111111112</v>
      </c>
      <c r="G163" s="3" t="s">
        <v>237</v>
      </c>
      <c r="H163" s="3" t="s">
        <v>238</v>
      </c>
      <c r="I163" t="s">
        <v>23</v>
      </c>
      <c r="J163">
        <v>2.7</v>
      </c>
      <c r="L163" t="s">
        <v>24</v>
      </c>
      <c r="M163">
        <v>0</v>
      </c>
      <c r="N163" t="s">
        <v>24</v>
      </c>
      <c r="Q163" t="s">
        <v>25</v>
      </c>
      <c r="R163">
        <v>150</v>
      </c>
    </row>
    <row r="164" spans="1:18" x14ac:dyDescent="0.2">
      <c r="A164" t="s">
        <v>19</v>
      </c>
      <c r="B164" t="s">
        <v>210</v>
      </c>
      <c r="C164" s="1">
        <v>44698</v>
      </c>
      <c r="D164" s="2">
        <v>0.53680555555555554</v>
      </c>
      <c r="E164" s="1">
        <v>44699</v>
      </c>
      <c r="F164" s="2">
        <v>0.66249999999999998</v>
      </c>
      <c r="G164" s="3" t="s">
        <v>211</v>
      </c>
      <c r="H164" s="3" t="s">
        <v>212</v>
      </c>
      <c r="I164" t="s">
        <v>23</v>
      </c>
      <c r="J164">
        <v>8.9</v>
      </c>
      <c r="L164" t="s">
        <v>24</v>
      </c>
      <c r="M164">
        <v>0</v>
      </c>
      <c r="N164" t="s">
        <v>24</v>
      </c>
      <c r="Q164" t="s">
        <v>25</v>
      </c>
      <c r="R164" t="s">
        <v>24</v>
      </c>
    </row>
    <row r="165" spans="1:18" x14ac:dyDescent="0.2">
      <c r="A165" t="s">
        <v>19</v>
      </c>
      <c r="B165" t="s">
        <v>248</v>
      </c>
      <c r="C165" s="1">
        <v>44699</v>
      </c>
      <c r="D165" s="2">
        <v>0.7090277777777777</v>
      </c>
      <c r="E165" s="1">
        <v>44701</v>
      </c>
      <c r="F165" s="2">
        <v>0.375</v>
      </c>
      <c r="G165" s="3" t="s">
        <v>249</v>
      </c>
      <c r="H165" s="3" t="s">
        <v>250</v>
      </c>
      <c r="I165" t="s">
        <v>23</v>
      </c>
      <c r="J165">
        <v>7.2</v>
      </c>
      <c r="L165" t="s">
        <v>24</v>
      </c>
      <c r="M165">
        <v>0</v>
      </c>
      <c r="N165" t="s">
        <v>24</v>
      </c>
      <c r="Q165" t="s">
        <v>25</v>
      </c>
      <c r="R165">
        <v>100</v>
      </c>
    </row>
    <row r="166" spans="1:18" x14ac:dyDescent="0.2">
      <c r="A166" t="s">
        <v>19</v>
      </c>
      <c r="B166" t="s">
        <v>260</v>
      </c>
      <c r="C166" s="1">
        <v>44699</v>
      </c>
      <c r="D166" s="2">
        <v>0.70763888888888893</v>
      </c>
      <c r="E166" s="1">
        <v>44701</v>
      </c>
      <c r="F166" s="2">
        <v>0.38055555555555554</v>
      </c>
      <c r="G166" s="3" t="s">
        <v>261</v>
      </c>
      <c r="H166" s="3" t="s">
        <v>262</v>
      </c>
      <c r="I166" t="s">
        <v>23</v>
      </c>
      <c r="J166">
        <v>4.2</v>
      </c>
      <c r="L166" t="s">
        <v>24</v>
      </c>
      <c r="M166">
        <v>0</v>
      </c>
      <c r="N166" t="s">
        <v>24</v>
      </c>
      <c r="Q166" t="s">
        <v>25</v>
      </c>
      <c r="R166">
        <v>120</v>
      </c>
    </row>
    <row r="167" spans="1:18" x14ac:dyDescent="0.2">
      <c r="A167" t="s">
        <v>19</v>
      </c>
      <c r="B167" t="s">
        <v>263</v>
      </c>
      <c r="C167" s="1">
        <v>44699</v>
      </c>
      <c r="D167" s="2">
        <v>0.71944444444444444</v>
      </c>
      <c r="E167" s="1">
        <v>44701</v>
      </c>
      <c r="F167" s="2">
        <v>0.37083333333333335</v>
      </c>
      <c r="G167" s="3" t="s">
        <v>264</v>
      </c>
      <c r="H167" s="3" t="s">
        <v>265</v>
      </c>
      <c r="I167" t="s">
        <v>23</v>
      </c>
      <c r="J167">
        <v>3.9</v>
      </c>
      <c r="L167" t="s">
        <v>24</v>
      </c>
      <c r="M167">
        <v>0</v>
      </c>
      <c r="N167" t="s">
        <v>24</v>
      </c>
      <c r="Q167" t="s">
        <v>25</v>
      </c>
      <c r="R167">
        <v>100</v>
      </c>
    </row>
    <row r="168" spans="1:18" x14ac:dyDescent="0.2">
      <c r="A168" t="s">
        <v>19</v>
      </c>
      <c r="B168" t="s">
        <v>266</v>
      </c>
      <c r="C168" s="1">
        <v>44699</v>
      </c>
      <c r="D168" s="2">
        <v>0.71111111111111114</v>
      </c>
      <c r="E168" s="1">
        <v>44701</v>
      </c>
      <c r="F168" s="2">
        <v>0.37708333333333338</v>
      </c>
      <c r="G168" s="3" t="s">
        <v>267</v>
      </c>
      <c r="H168" s="3" t="s">
        <v>268</v>
      </c>
      <c r="I168" t="s">
        <v>23</v>
      </c>
      <c r="J168">
        <v>8.4</v>
      </c>
      <c r="L168" t="s">
        <v>24</v>
      </c>
      <c r="M168">
        <v>0</v>
      </c>
      <c r="N168" t="s">
        <v>24</v>
      </c>
      <c r="Q168" t="s">
        <v>25</v>
      </c>
      <c r="R168">
        <v>120</v>
      </c>
    </row>
    <row r="169" spans="1:18" x14ac:dyDescent="0.2">
      <c r="A169" t="s">
        <v>19</v>
      </c>
      <c r="B169" t="s">
        <v>269</v>
      </c>
      <c r="C169" s="1">
        <v>44699</v>
      </c>
      <c r="D169" s="2">
        <v>0.72430555555555554</v>
      </c>
      <c r="E169" s="1">
        <v>44701</v>
      </c>
      <c r="F169" s="2">
        <v>0.3659722222222222</v>
      </c>
      <c r="G169" s="3" t="s">
        <v>270</v>
      </c>
      <c r="H169" s="3" t="s">
        <v>271</v>
      </c>
      <c r="I169" t="s">
        <v>23</v>
      </c>
      <c r="J169">
        <v>9.1999999999999993</v>
      </c>
      <c r="L169" t="s">
        <v>24</v>
      </c>
      <c r="M169">
        <v>0</v>
      </c>
      <c r="N169" t="s">
        <v>24</v>
      </c>
      <c r="Q169" t="s">
        <v>25</v>
      </c>
      <c r="R169">
        <v>140</v>
      </c>
    </row>
    <row r="170" spans="1:18" x14ac:dyDescent="0.2">
      <c r="A170" t="s">
        <v>19</v>
      </c>
      <c r="B170" t="s">
        <v>272</v>
      </c>
      <c r="C170" s="1">
        <v>44699</v>
      </c>
      <c r="D170" s="2">
        <v>0.70347222222222217</v>
      </c>
      <c r="E170" s="1">
        <v>44701</v>
      </c>
      <c r="F170" s="2">
        <v>0.3833333333333333</v>
      </c>
      <c r="G170" s="3" t="s">
        <v>273</v>
      </c>
      <c r="H170" s="3" t="s">
        <v>274</v>
      </c>
      <c r="I170" t="s">
        <v>23</v>
      </c>
      <c r="J170">
        <v>4.4000000000000004</v>
      </c>
      <c r="L170" t="s">
        <v>24</v>
      </c>
      <c r="M170">
        <v>0</v>
      </c>
      <c r="N170" t="s">
        <v>24</v>
      </c>
      <c r="Q170" t="s">
        <v>25</v>
      </c>
      <c r="R170">
        <v>150</v>
      </c>
    </row>
    <row r="171" spans="1:18" x14ac:dyDescent="0.2">
      <c r="A171" t="s">
        <v>19</v>
      </c>
      <c r="B171" t="s">
        <v>278</v>
      </c>
      <c r="C171" s="1">
        <v>44699</v>
      </c>
      <c r="D171" s="2">
        <v>0.72083333333333333</v>
      </c>
      <c r="E171" s="1">
        <v>44701</v>
      </c>
      <c r="F171" s="2">
        <v>0.36874999999999997</v>
      </c>
      <c r="G171" s="3" t="s">
        <v>279</v>
      </c>
      <c r="H171" s="3" t="s">
        <v>280</v>
      </c>
      <c r="I171" t="s">
        <v>23</v>
      </c>
      <c r="J171">
        <v>4.3</v>
      </c>
      <c r="L171" t="s">
        <v>24</v>
      </c>
      <c r="M171">
        <v>0</v>
      </c>
      <c r="N171" t="s">
        <v>24</v>
      </c>
      <c r="Q171" t="s">
        <v>25</v>
      </c>
      <c r="R171">
        <v>140</v>
      </c>
    </row>
    <row r="172" spans="1:18" x14ac:dyDescent="0.2">
      <c r="A172" t="s">
        <v>19</v>
      </c>
      <c r="B172" t="s">
        <v>281</v>
      </c>
      <c r="C172" s="1">
        <v>44699</v>
      </c>
      <c r="D172" s="2">
        <v>0.70000000000000007</v>
      </c>
      <c r="E172" s="1">
        <v>44701</v>
      </c>
      <c r="F172" s="2">
        <v>0.38541666666666669</v>
      </c>
      <c r="G172" s="3" t="s">
        <v>282</v>
      </c>
      <c r="H172" s="3" t="s">
        <v>283</v>
      </c>
      <c r="I172" t="s">
        <v>23</v>
      </c>
      <c r="J172">
        <v>6.8</v>
      </c>
      <c r="L172" t="s">
        <v>24</v>
      </c>
      <c r="M172">
        <v>0</v>
      </c>
      <c r="N172" t="s">
        <v>24</v>
      </c>
      <c r="Q172" t="s">
        <v>25</v>
      </c>
      <c r="R172">
        <v>150</v>
      </c>
    </row>
    <row r="173" spans="1:18" x14ac:dyDescent="0.2">
      <c r="A173" t="s">
        <v>19</v>
      </c>
      <c r="B173" t="s">
        <v>239</v>
      </c>
      <c r="C173" s="1">
        <v>44700</v>
      </c>
      <c r="D173" s="2">
        <v>0.4458333333333333</v>
      </c>
      <c r="E173" s="1">
        <v>44701</v>
      </c>
      <c r="F173" s="2">
        <v>0.41597222222222219</v>
      </c>
      <c r="G173" s="3" t="s">
        <v>240</v>
      </c>
      <c r="H173" s="3" t="s">
        <v>241</v>
      </c>
      <c r="I173" t="s">
        <v>23</v>
      </c>
      <c r="J173">
        <v>9.9</v>
      </c>
      <c r="L173" t="s">
        <v>24</v>
      </c>
      <c r="M173">
        <v>0</v>
      </c>
      <c r="N173" t="s">
        <v>24</v>
      </c>
      <c r="Q173" t="s">
        <v>25</v>
      </c>
      <c r="R173">
        <v>150</v>
      </c>
    </row>
    <row r="174" spans="1:18" x14ac:dyDescent="0.2">
      <c r="A174" t="s">
        <v>19</v>
      </c>
      <c r="B174" t="s">
        <v>242</v>
      </c>
      <c r="C174" s="1">
        <v>44700</v>
      </c>
      <c r="D174" s="2">
        <v>0.44375000000000003</v>
      </c>
      <c r="E174" s="1">
        <v>44701</v>
      </c>
      <c r="F174" s="2">
        <v>0.40486111111111112</v>
      </c>
      <c r="G174" s="3" t="s">
        <v>243</v>
      </c>
      <c r="H174" s="3" t="s">
        <v>244</v>
      </c>
      <c r="I174" t="s">
        <v>23</v>
      </c>
      <c r="J174">
        <v>9.5</v>
      </c>
      <c r="L174" t="s">
        <v>24</v>
      </c>
      <c r="M174">
        <v>0</v>
      </c>
      <c r="N174" t="s">
        <v>24</v>
      </c>
      <c r="Q174" t="s">
        <v>25</v>
      </c>
      <c r="R174">
        <v>150</v>
      </c>
    </row>
    <row r="175" spans="1:18" x14ac:dyDescent="0.2">
      <c r="A175" t="s">
        <v>19</v>
      </c>
      <c r="B175" t="s">
        <v>245</v>
      </c>
      <c r="C175" s="1">
        <v>44700</v>
      </c>
      <c r="D175" s="2">
        <v>0.42152777777777778</v>
      </c>
      <c r="E175" s="1">
        <v>44701</v>
      </c>
      <c r="F175" s="2">
        <v>0.41319444444444442</v>
      </c>
      <c r="G175" s="3" t="s">
        <v>246</v>
      </c>
      <c r="H175" s="3" t="s">
        <v>247</v>
      </c>
      <c r="I175" t="s">
        <v>23</v>
      </c>
      <c r="J175">
        <v>8.5</v>
      </c>
      <c r="L175" t="s">
        <v>24</v>
      </c>
      <c r="M175">
        <v>0</v>
      </c>
      <c r="N175" t="s">
        <v>24</v>
      </c>
      <c r="Q175" t="s">
        <v>25</v>
      </c>
      <c r="R175">
        <v>150</v>
      </c>
    </row>
    <row r="176" spans="1:18" x14ac:dyDescent="0.2">
      <c r="A176" t="s">
        <v>19</v>
      </c>
      <c r="B176" t="s">
        <v>251</v>
      </c>
      <c r="C176" s="1">
        <v>44700</v>
      </c>
      <c r="D176" s="2">
        <v>0.42499999999999999</v>
      </c>
      <c r="E176" s="1">
        <v>44701</v>
      </c>
      <c r="F176" s="2">
        <v>0.40972222222222227</v>
      </c>
      <c r="G176" s="3" t="s">
        <v>252</v>
      </c>
      <c r="H176" s="3" t="s">
        <v>253</v>
      </c>
      <c r="I176" t="s">
        <v>23</v>
      </c>
      <c r="J176">
        <v>8.8000000000000007</v>
      </c>
      <c r="L176" t="s">
        <v>24</v>
      </c>
      <c r="M176">
        <v>0</v>
      </c>
      <c r="N176" t="s">
        <v>24</v>
      </c>
      <c r="Q176" t="s">
        <v>25</v>
      </c>
      <c r="R176">
        <v>150</v>
      </c>
    </row>
    <row r="177" spans="1:19" x14ac:dyDescent="0.2">
      <c r="A177" t="s">
        <v>19</v>
      </c>
      <c r="B177" t="s">
        <v>254</v>
      </c>
      <c r="C177" s="1">
        <v>44700</v>
      </c>
      <c r="D177" s="2">
        <v>0.4291666666666667</v>
      </c>
      <c r="E177" s="1">
        <v>44701</v>
      </c>
      <c r="F177" s="2">
        <v>0.41944444444444445</v>
      </c>
      <c r="G177" s="3" t="s">
        <v>255</v>
      </c>
      <c r="H177" s="3" t="s">
        <v>256</v>
      </c>
      <c r="I177" t="s">
        <v>23</v>
      </c>
      <c r="J177">
        <v>10</v>
      </c>
      <c r="L177" t="s">
        <v>24</v>
      </c>
      <c r="M177">
        <v>0</v>
      </c>
      <c r="N177" t="s">
        <v>24</v>
      </c>
      <c r="Q177" t="s">
        <v>25</v>
      </c>
      <c r="R177">
        <v>100</v>
      </c>
    </row>
    <row r="178" spans="1:19" x14ac:dyDescent="0.2">
      <c r="A178" t="s">
        <v>19</v>
      </c>
      <c r="B178" t="s">
        <v>257</v>
      </c>
      <c r="C178" s="1">
        <v>44700</v>
      </c>
      <c r="D178" s="2">
        <v>0.4375</v>
      </c>
      <c r="E178" s="1">
        <v>44701</v>
      </c>
      <c r="F178" s="2">
        <v>0.42499999999999999</v>
      </c>
      <c r="G178" s="3" t="s">
        <v>258</v>
      </c>
      <c r="H178" s="3" t="s">
        <v>259</v>
      </c>
      <c r="I178" t="s">
        <v>23</v>
      </c>
      <c r="J178">
        <v>5.3</v>
      </c>
      <c r="L178" t="s">
        <v>24</v>
      </c>
      <c r="M178">
        <v>0</v>
      </c>
      <c r="N178" t="s">
        <v>24</v>
      </c>
      <c r="Q178" t="s">
        <v>25</v>
      </c>
      <c r="R178">
        <v>150</v>
      </c>
    </row>
    <row r="179" spans="1:19" x14ac:dyDescent="0.2">
      <c r="A179" t="s">
        <v>19</v>
      </c>
      <c r="B179" t="s">
        <v>275</v>
      </c>
      <c r="C179" s="1">
        <v>44700</v>
      </c>
      <c r="D179" s="2">
        <v>0.41597222222222219</v>
      </c>
      <c r="E179" s="1">
        <v>44701</v>
      </c>
      <c r="F179" s="2">
        <v>0.40138888888888885</v>
      </c>
      <c r="G179" s="3" t="s">
        <v>276</v>
      </c>
      <c r="H179" s="3" t="s">
        <v>277</v>
      </c>
      <c r="I179" t="s">
        <v>23</v>
      </c>
      <c r="J179">
        <v>9.8000000000000007</v>
      </c>
      <c r="L179" t="s">
        <v>24</v>
      </c>
      <c r="M179">
        <v>0</v>
      </c>
      <c r="N179" t="s">
        <v>24</v>
      </c>
      <c r="Q179" t="s">
        <v>25</v>
      </c>
      <c r="R179">
        <v>150</v>
      </c>
    </row>
    <row r="180" spans="1:19" x14ac:dyDescent="0.2">
      <c r="A180" t="s">
        <v>19</v>
      </c>
      <c r="B180" t="s">
        <v>284</v>
      </c>
      <c r="C180" s="1">
        <v>44700</v>
      </c>
      <c r="D180" s="2">
        <v>0.43333333333333335</v>
      </c>
      <c r="E180" s="1">
        <v>44701</v>
      </c>
      <c r="F180" s="2">
        <v>0.42083333333333334</v>
      </c>
      <c r="G180" s="3" t="s">
        <v>285</v>
      </c>
      <c r="H180" s="3" t="s">
        <v>286</v>
      </c>
      <c r="I180" t="s">
        <v>23</v>
      </c>
      <c r="J180">
        <v>9.6999999999999993</v>
      </c>
      <c r="L180" t="s">
        <v>24</v>
      </c>
      <c r="M180">
        <v>0</v>
      </c>
      <c r="N180" t="s">
        <v>24</v>
      </c>
      <c r="Q180" t="s">
        <v>25</v>
      </c>
      <c r="R180">
        <v>200</v>
      </c>
    </row>
    <row r="181" spans="1:19" x14ac:dyDescent="0.2">
      <c r="A181" t="s">
        <v>453</v>
      </c>
      <c r="B181" t="s">
        <v>476</v>
      </c>
      <c r="C181" s="1">
        <v>44711</v>
      </c>
      <c r="D181" s="2">
        <v>0.74513888888888891</v>
      </c>
      <c r="E181" s="1">
        <v>44712</v>
      </c>
      <c r="F181" s="2">
        <v>0.50277777777777777</v>
      </c>
      <c r="G181">
        <v>54.759379000000003</v>
      </c>
      <c r="H181">
        <v>123.38464500000001</v>
      </c>
      <c r="I181" t="s">
        <v>23</v>
      </c>
      <c r="J181">
        <v>7</v>
      </c>
      <c r="L181" t="s">
        <v>32</v>
      </c>
      <c r="M181">
        <v>1</v>
      </c>
      <c r="N181" t="s">
        <v>24</v>
      </c>
      <c r="Q181" t="s">
        <v>455</v>
      </c>
      <c r="R181">
        <v>110</v>
      </c>
      <c r="S181" t="s">
        <v>477</v>
      </c>
    </row>
    <row r="182" spans="1:19" x14ac:dyDescent="0.2">
      <c r="A182" t="s">
        <v>453</v>
      </c>
      <c r="B182" t="s">
        <v>469</v>
      </c>
      <c r="C182" s="1">
        <v>44711</v>
      </c>
      <c r="D182" s="2">
        <v>0.72013888888888899</v>
      </c>
      <c r="E182" s="1">
        <v>44712</v>
      </c>
      <c r="F182" s="2">
        <v>0.46458333333333335</v>
      </c>
      <c r="G182">
        <v>54.757449999999999</v>
      </c>
      <c r="H182">
        <v>123.40689</v>
      </c>
      <c r="I182" t="s">
        <v>23</v>
      </c>
      <c r="J182">
        <v>8.6999999999999993</v>
      </c>
      <c r="L182" t="s">
        <v>32</v>
      </c>
      <c r="M182">
        <v>1</v>
      </c>
      <c r="N182" t="s">
        <v>24</v>
      </c>
      <c r="Q182" t="s">
        <v>455</v>
      </c>
      <c r="R182">
        <v>150</v>
      </c>
      <c r="S182" t="s">
        <v>470</v>
      </c>
    </row>
    <row r="183" spans="1:19" x14ac:dyDescent="0.2">
      <c r="A183" t="s">
        <v>453</v>
      </c>
      <c r="B183" t="s">
        <v>580</v>
      </c>
      <c r="C183" s="1">
        <v>44733</v>
      </c>
      <c r="D183" s="2">
        <v>0.53472222222222221</v>
      </c>
      <c r="E183" s="1">
        <v>44734</v>
      </c>
      <c r="F183" s="2">
        <v>0.37638888888888888</v>
      </c>
      <c r="G183">
        <v>54.749609999999997</v>
      </c>
      <c r="H183">
        <v>123.36329600000001</v>
      </c>
      <c r="I183" t="s">
        <v>23</v>
      </c>
      <c r="J183">
        <v>10.1</v>
      </c>
      <c r="K183">
        <v>10</v>
      </c>
      <c r="L183" t="s">
        <v>32</v>
      </c>
      <c r="M183">
        <v>1</v>
      </c>
      <c r="N183" t="s">
        <v>24</v>
      </c>
      <c r="O183" t="s">
        <v>24</v>
      </c>
      <c r="P183" t="s">
        <v>24</v>
      </c>
      <c r="Q183" t="s">
        <v>455</v>
      </c>
      <c r="R183">
        <v>200</v>
      </c>
      <c r="S183" t="s">
        <v>581</v>
      </c>
    </row>
    <row r="184" spans="1:19" x14ac:dyDescent="0.2">
      <c r="A184" t="s">
        <v>453</v>
      </c>
      <c r="B184" t="s">
        <v>681</v>
      </c>
      <c r="C184" s="1">
        <v>44858</v>
      </c>
      <c r="D184" s="2">
        <v>0.71319444444444446</v>
      </c>
      <c r="E184" s="1">
        <v>44859</v>
      </c>
      <c r="F184" s="2">
        <v>0.4909722222222222</v>
      </c>
      <c r="G184">
        <v>54.782288999999999</v>
      </c>
      <c r="H184">
        <v>123.383374</v>
      </c>
      <c r="I184" t="s">
        <v>23</v>
      </c>
      <c r="J184">
        <v>3</v>
      </c>
      <c r="L184" t="s">
        <v>32</v>
      </c>
      <c r="M184">
        <v>1</v>
      </c>
      <c r="N184" t="s">
        <v>24</v>
      </c>
      <c r="Q184" t="s">
        <v>455</v>
      </c>
      <c r="R184">
        <v>100</v>
      </c>
      <c r="S184" t="s">
        <v>682</v>
      </c>
    </row>
    <row r="185" spans="1:19" x14ac:dyDescent="0.2">
      <c r="A185" t="s">
        <v>19</v>
      </c>
      <c r="B185" t="s">
        <v>20</v>
      </c>
      <c r="C185" s="1">
        <v>44692</v>
      </c>
      <c r="D185" s="2">
        <v>0.6972222222222223</v>
      </c>
      <c r="E185" s="1">
        <v>44693</v>
      </c>
      <c r="F185" s="2">
        <v>0.47361111111111115</v>
      </c>
      <c r="G185" s="3" t="s">
        <v>21</v>
      </c>
      <c r="H185" s="3" t="s">
        <v>22</v>
      </c>
      <c r="I185" t="s">
        <v>23</v>
      </c>
      <c r="J185">
        <v>9</v>
      </c>
      <c r="L185" t="s">
        <v>24</v>
      </c>
      <c r="M185">
        <v>0</v>
      </c>
      <c r="Q185" t="s">
        <v>25</v>
      </c>
      <c r="R185">
        <v>130</v>
      </c>
    </row>
    <row r="186" spans="1:19" x14ac:dyDescent="0.2">
      <c r="A186" t="s">
        <v>19</v>
      </c>
      <c r="B186" t="s">
        <v>26</v>
      </c>
      <c r="C186" s="1">
        <v>44692</v>
      </c>
      <c r="D186" s="2">
        <v>0.72083333333333333</v>
      </c>
      <c r="E186" s="1">
        <v>44693</v>
      </c>
      <c r="F186" s="2">
        <v>0.50347222222222221</v>
      </c>
      <c r="G186" s="3" t="s">
        <v>27</v>
      </c>
      <c r="H186" s="3" t="s">
        <v>28</v>
      </c>
      <c r="I186" t="s">
        <v>23</v>
      </c>
      <c r="J186">
        <v>1.1000000000000001</v>
      </c>
      <c r="L186" t="s">
        <v>24</v>
      </c>
      <c r="M186">
        <v>0</v>
      </c>
      <c r="Q186" t="s">
        <v>25</v>
      </c>
      <c r="R186">
        <v>150</v>
      </c>
    </row>
    <row r="187" spans="1:19" x14ac:dyDescent="0.2">
      <c r="A187" t="s">
        <v>19</v>
      </c>
      <c r="B187" t="s">
        <v>36</v>
      </c>
      <c r="C187" s="1">
        <v>44692</v>
      </c>
      <c r="D187" s="2">
        <v>0.71458333333333324</v>
      </c>
      <c r="E187" s="1">
        <v>44693</v>
      </c>
      <c r="F187" s="2">
        <v>0.4993055555555555</v>
      </c>
      <c r="G187" s="3" t="s">
        <v>37</v>
      </c>
      <c r="H187" s="3" t="s">
        <v>38</v>
      </c>
      <c r="I187" t="s">
        <v>23</v>
      </c>
      <c r="J187">
        <v>10.1</v>
      </c>
      <c r="L187" t="s">
        <v>24</v>
      </c>
      <c r="M187">
        <v>0</v>
      </c>
      <c r="Q187" t="s">
        <v>25</v>
      </c>
      <c r="R187">
        <v>150</v>
      </c>
    </row>
    <row r="188" spans="1:19" x14ac:dyDescent="0.2">
      <c r="A188" t="s">
        <v>19</v>
      </c>
      <c r="B188" t="s">
        <v>39</v>
      </c>
      <c r="C188" s="1">
        <v>44692</v>
      </c>
      <c r="D188" s="2">
        <v>0.70694444444444438</v>
      </c>
      <c r="E188" s="1">
        <v>44693</v>
      </c>
      <c r="F188" s="2">
        <v>0.4826388888888889</v>
      </c>
      <c r="G188" s="3" t="s">
        <v>40</v>
      </c>
      <c r="H188" s="3" t="s">
        <v>41</v>
      </c>
      <c r="I188" t="s">
        <v>23</v>
      </c>
      <c r="J188">
        <v>4.3</v>
      </c>
      <c r="L188" t="s">
        <v>24</v>
      </c>
      <c r="M188">
        <v>0</v>
      </c>
      <c r="Q188" t="s">
        <v>25</v>
      </c>
      <c r="R188">
        <v>150</v>
      </c>
    </row>
    <row r="189" spans="1:19" x14ac:dyDescent="0.2">
      <c r="A189" t="s">
        <v>19</v>
      </c>
      <c r="B189" t="s">
        <v>42</v>
      </c>
      <c r="C189" s="1">
        <v>44692</v>
      </c>
      <c r="D189" s="2">
        <v>0.70347222222222217</v>
      </c>
      <c r="E189" s="1">
        <v>44693</v>
      </c>
      <c r="F189" s="2">
        <v>0.47847222222222219</v>
      </c>
      <c r="G189" s="3" t="s">
        <v>43</v>
      </c>
      <c r="H189" s="3">
        <v>124.629316</v>
      </c>
      <c r="I189" t="s">
        <v>23</v>
      </c>
      <c r="J189">
        <v>6.1</v>
      </c>
      <c r="L189" t="s">
        <v>24</v>
      </c>
      <c r="M189">
        <v>0</v>
      </c>
      <c r="Q189" t="s">
        <v>25</v>
      </c>
      <c r="R189">
        <v>150</v>
      </c>
    </row>
    <row r="190" spans="1:19" x14ac:dyDescent="0.2">
      <c r="A190" t="s">
        <v>19</v>
      </c>
      <c r="B190" t="s">
        <v>44</v>
      </c>
      <c r="C190" s="1">
        <v>44692</v>
      </c>
      <c r="D190" s="2">
        <v>0.73472222222222217</v>
      </c>
      <c r="E190" s="1">
        <v>44693</v>
      </c>
      <c r="F190" s="2">
        <v>0.51527777777777783</v>
      </c>
      <c r="G190" s="3" t="s">
        <v>45</v>
      </c>
      <c r="H190" s="3" t="s">
        <v>46</v>
      </c>
      <c r="I190" t="s">
        <v>23</v>
      </c>
      <c r="J190">
        <v>9.9</v>
      </c>
      <c r="L190" t="s">
        <v>24</v>
      </c>
      <c r="M190">
        <v>0</v>
      </c>
      <c r="Q190" t="s">
        <v>25</v>
      </c>
      <c r="R190">
        <v>150</v>
      </c>
    </row>
    <row r="191" spans="1:19" x14ac:dyDescent="0.2">
      <c r="A191" t="s">
        <v>19</v>
      </c>
      <c r="B191" t="s">
        <v>47</v>
      </c>
      <c r="C191" s="1">
        <v>44693</v>
      </c>
      <c r="D191" s="2">
        <v>0.64097222222222217</v>
      </c>
      <c r="E191" s="1">
        <v>44695</v>
      </c>
      <c r="F191" s="2">
        <v>0.56180555555555556</v>
      </c>
      <c r="G191" s="3" t="s">
        <v>48</v>
      </c>
      <c r="H191" s="3" t="s">
        <v>49</v>
      </c>
      <c r="I191" t="s">
        <v>23</v>
      </c>
      <c r="J191">
        <v>9.1</v>
      </c>
      <c r="L191" t="s">
        <v>24</v>
      </c>
      <c r="M191">
        <v>0</v>
      </c>
      <c r="Q191" t="s">
        <v>25</v>
      </c>
      <c r="R191">
        <v>150</v>
      </c>
    </row>
    <row r="192" spans="1:19" x14ac:dyDescent="0.2">
      <c r="A192" t="s">
        <v>19</v>
      </c>
      <c r="B192" t="s">
        <v>50</v>
      </c>
      <c r="C192" s="1">
        <v>44693</v>
      </c>
      <c r="D192" s="2">
        <v>0.63263888888888886</v>
      </c>
      <c r="E192" s="1">
        <v>44695</v>
      </c>
      <c r="F192" s="2">
        <v>0.55902777777777779</v>
      </c>
      <c r="G192" s="3" t="s">
        <v>51</v>
      </c>
      <c r="H192" s="3" t="s">
        <v>52</v>
      </c>
      <c r="I192" t="s">
        <v>23</v>
      </c>
      <c r="J192">
        <v>4.4000000000000004</v>
      </c>
      <c r="L192" t="s">
        <v>24</v>
      </c>
      <c r="M192">
        <v>0</v>
      </c>
      <c r="Q192" t="s">
        <v>25</v>
      </c>
      <c r="R192">
        <v>150</v>
      </c>
    </row>
    <row r="193" spans="1:19" x14ac:dyDescent="0.2">
      <c r="A193" t="s">
        <v>19</v>
      </c>
      <c r="B193" t="s">
        <v>53</v>
      </c>
      <c r="C193" s="1">
        <v>44693</v>
      </c>
      <c r="D193" s="2">
        <v>0.64583333333333337</v>
      </c>
      <c r="E193" s="1">
        <v>44695</v>
      </c>
      <c r="F193" s="2">
        <v>0.56527777777777777</v>
      </c>
      <c r="G193" s="3" t="s">
        <v>54</v>
      </c>
      <c r="H193" s="3" t="s">
        <v>55</v>
      </c>
      <c r="I193" t="s">
        <v>23</v>
      </c>
      <c r="J193">
        <v>8.8000000000000007</v>
      </c>
      <c r="L193" t="s">
        <v>24</v>
      </c>
      <c r="M193">
        <v>0</v>
      </c>
      <c r="Q193" t="s">
        <v>25</v>
      </c>
      <c r="R193">
        <v>150</v>
      </c>
    </row>
    <row r="194" spans="1:19" x14ac:dyDescent="0.2">
      <c r="A194" t="s">
        <v>19</v>
      </c>
      <c r="B194" t="s">
        <v>59</v>
      </c>
      <c r="C194" s="1">
        <v>44693</v>
      </c>
      <c r="D194" s="2">
        <v>0.66180555555555554</v>
      </c>
      <c r="E194" s="1">
        <v>44695</v>
      </c>
      <c r="F194" s="2">
        <v>0.55138888888888882</v>
      </c>
      <c r="G194" s="3" t="s">
        <v>60</v>
      </c>
      <c r="H194" s="3" t="s">
        <v>61</v>
      </c>
      <c r="I194" t="s">
        <v>23</v>
      </c>
      <c r="J194">
        <v>10.199999999999999</v>
      </c>
      <c r="L194" t="s">
        <v>24</v>
      </c>
      <c r="M194">
        <v>0</v>
      </c>
      <c r="Q194" t="s">
        <v>25</v>
      </c>
      <c r="R194">
        <v>150</v>
      </c>
    </row>
    <row r="195" spans="1:19" x14ac:dyDescent="0.2">
      <c r="A195" t="s">
        <v>19</v>
      </c>
      <c r="B195" t="s">
        <v>62</v>
      </c>
      <c r="C195" s="1">
        <v>44693</v>
      </c>
      <c r="D195" s="2">
        <v>0.64861111111111114</v>
      </c>
      <c r="E195" s="1">
        <v>44695</v>
      </c>
      <c r="F195" s="2">
        <v>0.57777777777777783</v>
      </c>
      <c r="G195" s="3" t="s">
        <v>63</v>
      </c>
      <c r="H195" s="3" t="s">
        <v>64</v>
      </c>
      <c r="I195" t="s">
        <v>23</v>
      </c>
      <c r="J195">
        <v>5.0999999999999996</v>
      </c>
      <c r="L195" t="s">
        <v>24</v>
      </c>
      <c r="M195">
        <v>0</v>
      </c>
      <c r="Q195" t="s">
        <v>25</v>
      </c>
      <c r="R195">
        <v>150</v>
      </c>
    </row>
    <row r="196" spans="1:19" x14ac:dyDescent="0.2">
      <c r="A196" t="s">
        <v>19</v>
      </c>
      <c r="B196" t="s">
        <v>65</v>
      </c>
      <c r="C196" s="1">
        <v>44693</v>
      </c>
      <c r="D196" s="2">
        <v>0.67291666666666661</v>
      </c>
      <c r="E196" s="1">
        <v>44695</v>
      </c>
      <c r="F196" s="2">
        <v>0.59861111111111109</v>
      </c>
      <c r="G196" s="3" t="s">
        <v>66</v>
      </c>
      <c r="H196" s="3" t="s">
        <v>67</v>
      </c>
      <c r="I196" t="s">
        <v>23</v>
      </c>
      <c r="J196">
        <v>2.8</v>
      </c>
      <c r="L196" t="s">
        <v>24</v>
      </c>
      <c r="M196">
        <v>0</v>
      </c>
      <c r="Q196" t="s">
        <v>25</v>
      </c>
      <c r="R196">
        <v>150</v>
      </c>
    </row>
    <row r="197" spans="1:19" x14ac:dyDescent="0.2">
      <c r="A197" t="s">
        <v>19</v>
      </c>
      <c r="B197" t="s">
        <v>68</v>
      </c>
      <c r="C197" s="1">
        <v>44693</v>
      </c>
      <c r="D197" s="2">
        <v>0.6777777777777777</v>
      </c>
      <c r="E197" s="1">
        <v>44695</v>
      </c>
      <c r="F197" s="2">
        <v>0.60138888888888886</v>
      </c>
      <c r="G197" s="3" t="s">
        <v>69</v>
      </c>
      <c r="H197" s="3" t="s">
        <v>70</v>
      </c>
      <c r="I197" t="s">
        <v>23</v>
      </c>
      <c r="J197">
        <v>3.9</v>
      </c>
      <c r="L197" t="s">
        <v>24</v>
      </c>
      <c r="M197">
        <v>0</v>
      </c>
      <c r="Q197" t="s">
        <v>25</v>
      </c>
      <c r="R197">
        <v>150</v>
      </c>
    </row>
    <row r="198" spans="1:19" x14ac:dyDescent="0.2">
      <c r="A198" t="s">
        <v>19</v>
      </c>
      <c r="B198" t="s">
        <v>287</v>
      </c>
      <c r="C198" s="1">
        <v>44701</v>
      </c>
      <c r="D198" s="2">
        <v>0.51388888888888895</v>
      </c>
      <c r="E198" s="1">
        <v>44702</v>
      </c>
      <c r="F198" s="2">
        <v>0.47638888888888892</v>
      </c>
      <c r="G198" s="3" t="s">
        <v>288</v>
      </c>
      <c r="H198" s="3" t="s">
        <v>289</v>
      </c>
      <c r="I198" t="s">
        <v>23</v>
      </c>
      <c r="J198">
        <v>8</v>
      </c>
      <c r="L198" t="s">
        <v>24</v>
      </c>
      <c r="M198">
        <v>0</v>
      </c>
      <c r="Q198" t="s">
        <v>25</v>
      </c>
      <c r="R198">
        <v>150</v>
      </c>
    </row>
    <row r="199" spans="1:19" x14ac:dyDescent="0.2">
      <c r="A199" t="s">
        <v>19</v>
      </c>
      <c r="B199" t="s">
        <v>290</v>
      </c>
      <c r="C199" s="1">
        <v>44701</v>
      </c>
      <c r="D199" s="2">
        <v>0.49791666666666662</v>
      </c>
      <c r="E199" s="1">
        <v>44702</v>
      </c>
      <c r="F199" s="2">
        <v>0.44722222222222219</v>
      </c>
      <c r="G199" s="3" t="s">
        <v>291</v>
      </c>
      <c r="H199" s="3" t="s">
        <v>292</v>
      </c>
      <c r="I199" t="s">
        <v>23</v>
      </c>
      <c r="J199">
        <v>6.6</v>
      </c>
      <c r="L199" t="s">
        <v>24</v>
      </c>
      <c r="M199">
        <v>0</v>
      </c>
      <c r="Q199" t="s">
        <v>25</v>
      </c>
      <c r="R199">
        <v>150</v>
      </c>
    </row>
    <row r="200" spans="1:19" x14ac:dyDescent="0.2">
      <c r="A200" t="s">
        <v>19</v>
      </c>
      <c r="B200" t="s">
        <v>293</v>
      </c>
      <c r="C200" s="1">
        <v>44701</v>
      </c>
      <c r="D200" s="2">
        <v>0.54722222222222217</v>
      </c>
      <c r="E200" s="1">
        <v>44702</v>
      </c>
      <c r="F200" s="2">
        <v>0.51388888888888895</v>
      </c>
      <c r="G200" s="3" t="s">
        <v>294</v>
      </c>
      <c r="H200" s="3" t="s">
        <v>295</v>
      </c>
      <c r="I200" t="s">
        <v>23</v>
      </c>
      <c r="J200">
        <v>8.6</v>
      </c>
      <c r="L200" t="s">
        <v>24</v>
      </c>
      <c r="M200">
        <v>0</v>
      </c>
      <c r="Q200" t="s">
        <v>25</v>
      </c>
      <c r="R200">
        <v>200</v>
      </c>
    </row>
    <row r="201" spans="1:19" x14ac:dyDescent="0.2">
      <c r="A201" t="s">
        <v>19</v>
      </c>
      <c r="B201" t="s">
        <v>296</v>
      </c>
      <c r="C201" s="1">
        <v>44701</v>
      </c>
      <c r="D201" s="2">
        <v>0.5395833333333333</v>
      </c>
      <c r="E201" s="1">
        <v>44702</v>
      </c>
      <c r="F201" s="2">
        <v>0.49791666666666662</v>
      </c>
      <c r="G201" s="3" t="s">
        <v>297</v>
      </c>
      <c r="H201" s="3" t="s">
        <v>298</v>
      </c>
      <c r="I201" t="s">
        <v>23</v>
      </c>
      <c r="J201">
        <v>8.6</v>
      </c>
      <c r="L201" t="s">
        <v>24</v>
      </c>
      <c r="M201">
        <v>0</v>
      </c>
      <c r="Q201" t="s">
        <v>25</v>
      </c>
      <c r="R201">
        <v>150</v>
      </c>
    </row>
    <row r="202" spans="1:19" x14ac:dyDescent="0.2">
      <c r="A202" t="s">
        <v>19</v>
      </c>
      <c r="B202" t="s">
        <v>299</v>
      </c>
      <c r="C202" s="1">
        <v>44701</v>
      </c>
      <c r="D202" s="2">
        <v>0.53263888888888888</v>
      </c>
      <c r="E202" s="1">
        <v>44702</v>
      </c>
      <c r="F202" s="2">
        <v>0.50347222222222221</v>
      </c>
      <c r="G202" s="3" t="s">
        <v>300</v>
      </c>
      <c r="H202" s="3" t="s">
        <v>301</v>
      </c>
      <c r="I202" t="s">
        <v>23</v>
      </c>
      <c r="J202">
        <v>4.9000000000000004</v>
      </c>
      <c r="L202" t="s">
        <v>24</v>
      </c>
      <c r="M202">
        <v>0</v>
      </c>
      <c r="Q202" t="s">
        <v>25</v>
      </c>
      <c r="R202">
        <v>150</v>
      </c>
    </row>
    <row r="203" spans="1:19" x14ac:dyDescent="0.2">
      <c r="A203" t="s">
        <v>19</v>
      </c>
      <c r="B203" t="s">
        <v>302</v>
      </c>
      <c r="C203" s="1">
        <v>44701</v>
      </c>
      <c r="D203" s="2">
        <v>0.51944444444444449</v>
      </c>
      <c r="E203" s="1">
        <v>44702</v>
      </c>
      <c r="F203" s="2">
        <v>0.48055555555555557</v>
      </c>
      <c r="G203" s="3" t="s">
        <v>303</v>
      </c>
      <c r="H203" s="3" t="s">
        <v>304</v>
      </c>
      <c r="I203" t="s">
        <v>23</v>
      </c>
      <c r="J203">
        <v>9.5</v>
      </c>
      <c r="L203" t="s">
        <v>24</v>
      </c>
      <c r="M203">
        <v>0</v>
      </c>
      <c r="Q203" t="s">
        <v>25</v>
      </c>
      <c r="R203">
        <v>150</v>
      </c>
    </row>
    <row r="204" spans="1:19" x14ac:dyDescent="0.2">
      <c r="A204" t="s">
        <v>19</v>
      </c>
      <c r="B204" t="s">
        <v>305</v>
      </c>
      <c r="C204" s="1">
        <v>44701</v>
      </c>
      <c r="D204" s="2">
        <v>0.48402777777777778</v>
      </c>
      <c r="E204" s="1">
        <v>44702</v>
      </c>
      <c r="F204" s="2">
        <v>0.4284722222222222</v>
      </c>
      <c r="G204" s="3" t="s">
        <v>306</v>
      </c>
      <c r="H204" s="3" t="s">
        <v>307</v>
      </c>
      <c r="I204" t="s">
        <v>23</v>
      </c>
      <c r="J204">
        <v>7.1</v>
      </c>
      <c r="L204" t="s">
        <v>24</v>
      </c>
      <c r="M204">
        <v>0</v>
      </c>
      <c r="Q204" t="s">
        <v>25</v>
      </c>
      <c r="R204">
        <v>125</v>
      </c>
    </row>
    <row r="205" spans="1:19" x14ac:dyDescent="0.2">
      <c r="A205" t="s">
        <v>19</v>
      </c>
      <c r="B205" t="s">
        <v>312</v>
      </c>
      <c r="C205" s="1">
        <v>44701</v>
      </c>
      <c r="D205" s="2">
        <v>0.4916666666666667</v>
      </c>
      <c r="E205" s="1">
        <v>44702</v>
      </c>
      <c r="F205" s="2">
        <v>0.43402777777777773</v>
      </c>
      <c r="G205" s="3" t="s">
        <v>313</v>
      </c>
      <c r="H205" s="3" t="s">
        <v>314</v>
      </c>
      <c r="I205" t="s">
        <v>23</v>
      </c>
      <c r="J205">
        <v>6.5</v>
      </c>
      <c r="L205" t="s">
        <v>24</v>
      </c>
      <c r="M205">
        <v>0</v>
      </c>
      <c r="Q205" t="s">
        <v>25</v>
      </c>
      <c r="R205">
        <v>150</v>
      </c>
    </row>
    <row r="206" spans="1:19" x14ac:dyDescent="0.2">
      <c r="A206" t="s">
        <v>19</v>
      </c>
      <c r="B206" t="s">
        <v>318</v>
      </c>
      <c r="C206" s="1">
        <v>44701</v>
      </c>
      <c r="D206" s="2">
        <v>0.49444444444444446</v>
      </c>
      <c r="E206" s="1">
        <v>44702</v>
      </c>
      <c r="F206" s="2">
        <v>0.4368055555555555</v>
      </c>
      <c r="G206" s="3" t="s">
        <v>319</v>
      </c>
      <c r="H206" s="3" t="s">
        <v>320</v>
      </c>
      <c r="I206" t="s">
        <v>23</v>
      </c>
      <c r="J206">
        <v>5.7</v>
      </c>
      <c r="L206" t="s">
        <v>24</v>
      </c>
      <c r="M206">
        <v>0</v>
      </c>
      <c r="Q206" t="s">
        <v>25</v>
      </c>
      <c r="R206">
        <v>150</v>
      </c>
      <c r="S206" t="s">
        <v>321</v>
      </c>
    </row>
    <row r="207" spans="1:19" x14ac:dyDescent="0.2">
      <c r="A207" t="s">
        <v>19</v>
      </c>
      <c r="B207" t="s">
        <v>322</v>
      </c>
      <c r="C207" s="1">
        <v>44701</v>
      </c>
      <c r="D207" s="2">
        <v>0.53749999999999998</v>
      </c>
      <c r="E207" s="1">
        <v>44702</v>
      </c>
      <c r="F207" s="2">
        <v>0.50972222222222219</v>
      </c>
      <c r="G207" s="3" t="s">
        <v>323</v>
      </c>
      <c r="H207" s="3" t="s">
        <v>324</v>
      </c>
      <c r="I207" t="s">
        <v>23</v>
      </c>
      <c r="J207">
        <v>7.3</v>
      </c>
      <c r="L207" t="s">
        <v>24</v>
      </c>
      <c r="M207">
        <v>0</v>
      </c>
      <c r="Q207" t="s">
        <v>25</v>
      </c>
      <c r="R207">
        <v>150</v>
      </c>
    </row>
    <row r="208" spans="1:19" x14ac:dyDescent="0.2">
      <c r="A208" t="s">
        <v>19</v>
      </c>
      <c r="B208" t="s">
        <v>325</v>
      </c>
      <c r="C208" s="1">
        <v>44701</v>
      </c>
      <c r="D208" s="2">
        <v>0.50694444444444442</v>
      </c>
      <c r="E208" s="1">
        <v>44702</v>
      </c>
      <c r="F208" s="2">
        <v>0.45069444444444445</v>
      </c>
      <c r="G208" s="3" t="s">
        <v>326</v>
      </c>
      <c r="H208" s="3" t="s">
        <v>327</v>
      </c>
      <c r="I208" t="s">
        <v>23</v>
      </c>
      <c r="J208">
        <v>5.6</v>
      </c>
      <c r="L208" t="s">
        <v>24</v>
      </c>
      <c r="M208">
        <v>0</v>
      </c>
      <c r="Q208" t="s">
        <v>25</v>
      </c>
      <c r="R208">
        <v>200</v>
      </c>
    </row>
    <row r="209" spans="1:19" x14ac:dyDescent="0.2">
      <c r="A209" t="s">
        <v>19</v>
      </c>
      <c r="B209" t="s">
        <v>328</v>
      </c>
      <c r="C209" s="1">
        <v>44701</v>
      </c>
      <c r="D209" s="2">
        <v>0.52847222222222223</v>
      </c>
      <c r="E209" s="1">
        <v>44702</v>
      </c>
      <c r="F209" s="2">
        <v>0.50069444444444444</v>
      </c>
      <c r="G209" s="3" t="s">
        <v>329</v>
      </c>
      <c r="H209" s="3" t="s">
        <v>330</v>
      </c>
      <c r="I209" t="s">
        <v>23</v>
      </c>
      <c r="J209">
        <v>6.3</v>
      </c>
      <c r="L209" t="s">
        <v>24</v>
      </c>
      <c r="M209">
        <v>0</v>
      </c>
      <c r="Q209" t="s">
        <v>25</v>
      </c>
      <c r="R209">
        <v>150</v>
      </c>
    </row>
    <row r="210" spans="1:19" x14ac:dyDescent="0.2">
      <c r="A210" t="s">
        <v>19</v>
      </c>
      <c r="B210" t="s">
        <v>331</v>
      </c>
      <c r="C210" s="1">
        <v>44701</v>
      </c>
      <c r="D210" s="2">
        <v>0.48680555555555555</v>
      </c>
      <c r="E210" s="1">
        <v>44702</v>
      </c>
      <c r="F210" s="2">
        <v>0.43124999999999997</v>
      </c>
      <c r="G210" s="3" t="s">
        <v>332</v>
      </c>
      <c r="H210" s="3" t="s">
        <v>333</v>
      </c>
      <c r="I210" t="s">
        <v>23</v>
      </c>
      <c r="J210">
        <v>5.6</v>
      </c>
      <c r="L210" t="s">
        <v>24</v>
      </c>
      <c r="M210">
        <v>0</v>
      </c>
      <c r="Q210" t="s">
        <v>25</v>
      </c>
      <c r="R210">
        <v>100</v>
      </c>
    </row>
    <row r="211" spans="1:19" x14ac:dyDescent="0.2">
      <c r="A211" t="s">
        <v>387</v>
      </c>
      <c r="B211" t="s">
        <v>390</v>
      </c>
      <c r="C211" s="1">
        <v>44705</v>
      </c>
      <c r="D211" s="2">
        <v>0.52777777777777779</v>
      </c>
      <c r="E211" s="1">
        <v>44706</v>
      </c>
      <c r="F211" s="2">
        <v>0.46597222222222223</v>
      </c>
      <c r="G211">
        <v>53.851407999999999</v>
      </c>
      <c r="H211">
        <v>123.67818</v>
      </c>
      <c r="I211" t="s">
        <v>23</v>
      </c>
      <c r="J211">
        <v>9.1</v>
      </c>
      <c r="L211" t="s">
        <v>24</v>
      </c>
      <c r="M211">
        <v>0</v>
      </c>
      <c r="Q211" t="s">
        <v>25</v>
      </c>
      <c r="R211">
        <v>200</v>
      </c>
    </row>
    <row r="212" spans="1:19" x14ac:dyDescent="0.2">
      <c r="A212" t="s">
        <v>387</v>
      </c>
      <c r="B212" t="s">
        <v>399</v>
      </c>
      <c r="C212" s="1">
        <v>44705</v>
      </c>
      <c r="D212" s="2">
        <v>0.57638888888888895</v>
      </c>
      <c r="E212" s="1">
        <v>44706</v>
      </c>
      <c r="F212" s="2">
        <v>0.48402777777777778</v>
      </c>
      <c r="G212">
        <v>53.858476000000003</v>
      </c>
      <c r="H212">
        <v>123.662909</v>
      </c>
      <c r="I212" t="s">
        <v>23</v>
      </c>
      <c r="J212">
        <v>7.8</v>
      </c>
      <c r="L212" t="s">
        <v>24</v>
      </c>
      <c r="M212">
        <v>0</v>
      </c>
      <c r="Q212" t="s">
        <v>25</v>
      </c>
      <c r="R212">
        <v>150</v>
      </c>
      <c r="S212" t="s">
        <v>393</v>
      </c>
    </row>
    <row r="213" spans="1:19" x14ac:dyDescent="0.2">
      <c r="A213" t="s">
        <v>387</v>
      </c>
      <c r="B213" t="s">
        <v>400</v>
      </c>
      <c r="C213" s="1">
        <v>44705</v>
      </c>
      <c r="D213" s="2">
        <v>0.57986111111111105</v>
      </c>
      <c r="E213" s="1">
        <v>44706</v>
      </c>
      <c r="F213" s="2">
        <v>0.48749999999999999</v>
      </c>
      <c r="G213">
        <v>53.859496999999998</v>
      </c>
      <c r="H213">
        <v>123.66283199999999</v>
      </c>
      <c r="I213" t="s">
        <v>23</v>
      </c>
      <c r="J213">
        <v>7.5</v>
      </c>
      <c r="L213" t="s">
        <v>24</v>
      </c>
      <c r="M213">
        <v>0</v>
      </c>
      <c r="Q213" t="s">
        <v>25</v>
      </c>
      <c r="R213">
        <v>150</v>
      </c>
    </row>
    <row r="214" spans="1:19" x14ac:dyDescent="0.2">
      <c r="A214" t="s">
        <v>387</v>
      </c>
      <c r="B214" t="s">
        <v>401</v>
      </c>
      <c r="C214" s="1">
        <v>44705</v>
      </c>
      <c r="D214" s="2">
        <v>0.58680555555555558</v>
      </c>
      <c r="E214" s="1">
        <v>44706</v>
      </c>
      <c r="F214" s="2">
        <v>0.49583333333333335</v>
      </c>
      <c r="G214">
        <v>53.863315</v>
      </c>
      <c r="H214">
        <v>123.654023</v>
      </c>
      <c r="I214" t="s">
        <v>23</v>
      </c>
      <c r="J214">
        <v>5.0999999999999996</v>
      </c>
      <c r="K214" t="s">
        <v>402</v>
      </c>
      <c r="L214" t="s">
        <v>24</v>
      </c>
      <c r="M214">
        <v>0</v>
      </c>
      <c r="Q214" t="s">
        <v>25</v>
      </c>
      <c r="R214">
        <v>150</v>
      </c>
      <c r="S214" t="s">
        <v>403</v>
      </c>
    </row>
    <row r="215" spans="1:19" x14ac:dyDescent="0.2">
      <c r="A215" t="s">
        <v>387</v>
      </c>
      <c r="B215" t="s">
        <v>398</v>
      </c>
      <c r="C215" s="1">
        <v>44705</v>
      </c>
      <c r="D215" s="2">
        <v>0.56597222222222221</v>
      </c>
      <c r="E215" s="1">
        <v>44706</v>
      </c>
      <c r="F215" s="2">
        <v>0.48125000000000001</v>
      </c>
      <c r="G215">
        <v>53.857104999999997</v>
      </c>
      <c r="H215">
        <v>123.66394699999999</v>
      </c>
      <c r="I215" t="s">
        <v>23</v>
      </c>
      <c r="J215">
        <v>9.5</v>
      </c>
      <c r="L215" t="s">
        <v>117</v>
      </c>
      <c r="M215">
        <v>1</v>
      </c>
      <c r="Q215" t="s">
        <v>25</v>
      </c>
      <c r="R215">
        <v>150</v>
      </c>
    </row>
    <row r="216" spans="1:19" x14ac:dyDescent="0.2">
      <c r="A216" t="s">
        <v>387</v>
      </c>
      <c r="B216" t="s">
        <v>410</v>
      </c>
      <c r="C216" s="1">
        <v>44705</v>
      </c>
      <c r="D216" s="2">
        <v>0.63541666666666663</v>
      </c>
      <c r="E216" s="1">
        <v>44706</v>
      </c>
      <c r="F216" s="2">
        <v>0.64722222222222225</v>
      </c>
      <c r="G216">
        <v>53.884698</v>
      </c>
      <c r="H216">
        <v>123.62866099999999</v>
      </c>
      <c r="I216" t="s">
        <v>23</v>
      </c>
      <c r="J216">
        <v>6.8</v>
      </c>
      <c r="L216" t="s">
        <v>24</v>
      </c>
      <c r="M216">
        <v>0</v>
      </c>
      <c r="Q216" t="s">
        <v>25</v>
      </c>
      <c r="R216">
        <v>200</v>
      </c>
      <c r="S216" t="s">
        <v>407</v>
      </c>
    </row>
    <row r="217" spans="1:19" x14ac:dyDescent="0.2">
      <c r="A217" t="s">
        <v>387</v>
      </c>
      <c r="B217" t="s">
        <v>404</v>
      </c>
      <c r="C217" s="1">
        <v>44705</v>
      </c>
      <c r="D217" s="2">
        <v>0.61805555555555558</v>
      </c>
      <c r="E217" s="1">
        <v>44706</v>
      </c>
      <c r="F217" s="2">
        <v>0.59166666666666667</v>
      </c>
      <c r="G217">
        <v>53.870024999999998</v>
      </c>
      <c r="H217">
        <v>123.626498</v>
      </c>
      <c r="I217" t="s">
        <v>23</v>
      </c>
      <c r="J217">
        <v>8.1999999999999993</v>
      </c>
      <c r="L217" t="s">
        <v>24</v>
      </c>
      <c r="M217">
        <v>0</v>
      </c>
      <c r="Q217" t="s">
        <v>25</v>
      </c>
      <c r="R217">
        <v>150</v>
      </c>
      <c r="S217" t="s">
        <v>405</v>
      </c>
    </row>
    <row r="218" spans="1:19" x14ac:dyDescent="0.2">
      <c r="A218" t="s">
        <v>387</v>
      </c>
      <c r="B218" t="s">
        <v>391</v>
      </c>
      <c r="C218" s="1">
        <v>44705</v>
      </c>
      <c r="D218" s="2">
        <v>0.53472222222222221</v>
      </c>
      <c r="E218" s="1">
        <v>44706</v>
      </c>
      <c r="F218" s="2">
        <v>0.4694444444444445</v>
      </c>
      <c r="G218">
        <v>53.850329000000002</v>
      </c>
      <c r="H218">
        <v>123.675172</v>
      </c>
      <c r="I218" t="s">
        <v>23</v>
      </c>
      <c r="J218">
        <v>6.6</v>
      </c>
      <c r="L218" t="s">
        <v>24</v>
      </c>
      <c r="M218">
        <v>0</v>
      </c>
      <c r="Q218" t="s">
        <v>25</v>
      </c>
      <c r="R218">
        <v>150</v>
      </c>
    </row>
    <row r="219" spans="1:19" x14ac:dyDescent="0.2">
      <c r="A219" t="s">
        <v>387</v>
      </c>
      <c r="B219" t="s">
        <v>394</v>
      </c>
      <c r="C219" s="1">
        <v>44705</v>
      </c>
      <c r="D219" s="2">
        <v>0.55208333333333337</v>
      </c>
      <c r="E219" s="1">
        <v>44706</v>
      </c>
      <c r="F219" s="2">
        <v>0.47500000000000003</v>
      </c>
      <c r="G219">
        <v>53.851970000000001</v>
      </c>
      <c r="H219">
        <v>123.668908</v>
      </c>
      <c r="I219" t="s">
        <v>23</v>
      </c>
      <c r="J219">
        <v>7.5</v>
      </c>
      <c r="L219" t="s">
        <v>24</v>
      </c>
      <c r="M219">
        <v>0</v>
      </c>
      <c r="Q219" t="s">
        <v>25</v>
      </c>
      <c r="R219">
        <v>150</v>
      </c>
    </row>
    <row r="220" spans="1:19" x14ac:dyDescent="0.2">
      <c r="A220" t="s">
        <v>387</v>
      </c>
      <c r="B220" t="s">
        <v>396</v>
      </c>
      <c r="C220" s="1">
        <v>44705</v>
      </c>
      <c r="D220" s="2">
        <v>0.5625</v>
      </c>
      <c r="E220" s="1">
        <v>44706</v>
      </c>
      <c r="F220" s="2">
        <v>0.4909722222222222</v>
      </c>
      <c r="G220">
        <v>53.853163000000002</v>
      </c>
      <c r="H220">
        <v>123.662843</v>
      </c>
      <c r="I220" t="s">
        <v>23</v>
      </c>
      <c r="J220">
        <v>5.0999999999999996</v>
      </c>
      <c r="L220" t="s">
        <v>24</v>
      </c>
      <c r="M220">
        <v>0</v>
      </c>
      <c r="Q220" t="s">
        <v>25</v>
      </c>
      <c r="R220">
        <v>150</v>
      </c>
      <c r="S220" t="s">
        <v>397</v>
      </c>
    </row>
    <row r="221" spans="1:19" x14ac:dyDescent="0.2">
      <c r="A221" t="s">
        <v>387</v>
      </c>
      <c r="B221" t="s">
        <v>388</v>
      </c>
      <c r="C221" s="1">
        <v>44705</v>
      </c>
      <c r="D221" s="2">
        <v>0.52430555555555558</v>
      </c>
      <c r="E221" s="1">
        <v>44706</v>
      </c>
      <c r="F221" s="2">
        <v>0.46319444444444446</v>
      </c>
      <c r="G221">
        <v>53.849668000000001</v>
      </c>
      <c r="H221">
        <v>123.679481</v>
      </c>
      <c r="I221" t="s">
        <v>23</v>
      </c>
      <c r="J221">
        <v>7</v>
      </c>
      <c r="K221" t="s">
        <v>389</v>
      </c>
      <c r="L221" t="s">
        <v>24</v>
      </c>
      <c r="M221">
        <v>0</v>
      </c>
      <c r="Q221" t="s">
        <v>25</v>
      </c>
      <c r="R221">
        <v>150</v>
      </c>
    </row>
    <row r="222" spans="1:19" x14ac:dyDescent="0.2">
      <c r="A222" t="s">
        <v>387</v>
      </c>
      <c r="B222" t="s">
        <v>411</v>
      </c>
      <c r="C222" s="1">
        <v>44705</v>
      </c>
      <c r="D222" s="2">
        <v>0.63888888888888895</v>
      </c>
      <c r="E222" s="1">
        <v>44706</v>
      </c>
      <c r="F222" s="2">
        <v>0.6430555555555556</v>
      </c>
      <c r="G222">
        <v>53.873130000000003</v>
      </c>
      <c r="H222">
        <v>123.639522</v>
      </c>
      <c r="I222" t="s">
        <v>23</v>
      </c>
      <c r="J222">
        <v>3</v>
      </c>
      <c r="L222" t="s">
        <v>24</v>
      </c>
      <c r="M222">
        <v>0</v>
      </c>
      <c r="Q222" t="s">
        <v>25</v>
      </c>
      <c r="R222">
        <v>150</v>
      </c>
      <c r="S222" t="s">
        <v>412</v>
      </c>
    </row>
    <row r="223" spans="1:19" x14ac:dyDescent="0.2">
      <c r="A223" t="s">
        <v>387</v>
      </c>
      <c r="B223" t="s">
        <v>392</v>
      </c>
      <c r="C223" s="1">
        <v>44705</v>
      </c>
      <c r="D223" s="2">
        <v>0.54513888888888895</v>
      </c>
      <c r="E223" s="1">
        <v>44706</v>
      </c>
      <c r="F223" s="2">
        <v>0.47152777777777777</v>
      </c>
      <c r="G223">
        <v>53.851733000000003</v>
      </c>
      <c r="H223">
        <v>123.674527</v>
      </c>
      <c r="I223" t="s">
        <v>23</v>
      </c>
      <c r="J223">
        <v>10.5</v>
      </c>
      <c r="L223" t="s">
        <v>24</v>
      </c>
      <c r="M223">
        <v>0</v>
      </c>
      <c r="Q223" t="s">
        <v>25</v>
      </c>
      <c r="R223">
        <v>150</v>
      </c>
      <c r="S223" t="s">
        <v>393</v>
      </c>
    </row>
    <row r="224" spans="1:19" x14ac:dyDescent="0.2">
      <c r="A224" t="s">
        <v>387</v>
      </c>
      <c r="B224" t="s">
        <v>406</v>
      </c>
      <c r="C224" s="1">
        <v>44705</v>
      </c>
      <c r="D224" s="2">
        <v>0.625</v>
      </c>
      <c r="E224" s="1">
        <v>44706</v>
      </c>
      <c r="F224" s="2">
        <v>0.59444444444444444</v>
      </c>
      <c r="G224">
        <v>53.875149</v>
      </c>
      <c r="H224">
        <v>123.61597399999999</v>
      </c>
      <c r="I224" t="s">
        <v>23</v>
      </c>
      <c r="J224">
        <v>6</v>
      </c>
      <c r="L224" t="s">
        <v>117</v>
      </c>
      <c r="M224">
        <v>2</v>
      </c>
      <c r="Q224" t="s">
        <v>25</v>
      </c>
      <c r="R224">
        <v>150</v>
      </c>
      <c r="S224" t="s">
        <v>407</v>
      </c>
    </row>
    <row r="225" spans="1:19" x14ac:dyDescent="0.2">
      <c r="A225" t="s">
        <v>387</v>
      </c>
      <c r="B225" t="s">
        <v>395</v>
      </c>
      <c r="C225" s="1">
        <v>44705</v>
      </c>
      <c r="D225" s="2">
        <v>0.55555555555555558</v>
      </c>
      <c r="E225" s="1">
        <v>44706</v>
      </c>
      <c r="F225" s="2">
        <v>0.47638888888888892</v>
      </c>
      <c r="G225">
        <v>53.851644999999998</v>
      </c>
      <c r="H225">
        <v>123.670552</v>
      </c>
      <c r="I225" t="s">
        <v>23</v>
      </c>
      <c r="J225">
        <v>3</v>
      </c>
      <c r="L225" t="s">
        <v>24</v>
      </c>
      <c r="M225">
        <v>0</v>
      </c>
      <c r="Q225" t="s">
        <v>25</v>
      </c>
      <c r="R225">
        <v>150</v>
      </c>
    </row>
    <row r="226" spans="1:19" x14ac:dyDescent="0.2">
      <c r="A226" t="s">
        <v>387</v>
      </c>
      <c r="B226" t="s">
        <v>408</v>
      </c>
      <c r="C226" s="1">
        <v>44705</v>
      </c>
      <c r="D226" s="2">
        <v>0.63194444444444442</v>
      </c>
      <c r="E226" s="1">
        <v>44706</v>
      </c>
      <c r="F226" s="2">
        <v>0.65</v>
      </c>
      <c r="G226">
        <v>53.884698</v>
      </c>
      <c r="H226">
        <v>123.62866099999999</v>
      </c>
      <c r="I226" t="s">
        <v>23</v>
      </c>
      <c r="J226">
        <v>6.5</v>
      </c>
      <c r="L226" t="s">
        <v>24</v>
      </c>
      <c r="M226">
        <v>0</v>
      </c>
      <c r="Q226" t="s">
        <v>25</v>
      </c>
      <c r="R226">
        <v>200</v>
      </c>
      <c r="S226" t="s">
        <v>409</v>
      </c>
    </row>
    <row r="227" spans="1:19" x14ac:dyDescent="0.2">
      <c r="A227" t="s">
        <v>387</v>
      </c>
      <c r="B227" t="s">
        <v>419</v>
      </c>
      <c r="C227" s="1">
        <v>44706</v>
      </c>
      <c r="D227" s="2">
        <v>0.52638888888888891</v>
      </c>
      <c r="E227" s="1">
        <v>44707</v>
      </c>
      <c r="F227" s="2">
        <v>0.51041666666666663</v>
      </c>
      <c r="G227">
        <v>53.895589000000001</v>
      </c>
      <c r="H227">
        <v>123.616863</v>
      </c>
      <c r="I227" t="s">
        <v>23</v>
      </c>
      <c r="J227">
        <v>7.5</v>
      </c>
      <c r="L227" t="s">
        <v>24</v>
      </c>
      <c r="M227">
        <v>0</v>
      </c>
      <c r="Q227" t="s">
        <v>358</v>
      </c>
      <c r="R227">
        <v>150</v>
      </c>
    </row>
    <row r="228" spans="1:19" x14ac:dyDescent="0.2">
      <c r="A228" t="s">
        <v>387</v>
      </c>
      <c r="B228" t="s">
        <v>422</v>
      </c>
      <c r="C228" s="1">
        <v>44706</v>
      </c>
      <c r="D228" s="2">
        <v>0.53402777777777777</v>
      </c>
      <c r="E228" s="1">
        <v>44707</v>
      </c>
      <c r="F228" s="2">
        <v>0.52777777777777779</v>
      </c>
      <c r="G228">
        <v>53.893436999999999</v>
      </c>
      <c r="H228">
        <v>123.61534399999999</v>
      </c>
      <c r="I228" t="s">
        <v>23</v>
      </c>
      <c r="J228">
        <v>8</v>
      </c>
      <c r="L228" t="s">
        <v>24</v>
      </c>
      <c r="M228">
        <v>0</v>
      </c>
      <c r="Q228" t="s">
        <v>25</v>
      </c>
      <c r="R228">
        <v>125</v>
      </c>
    </row>
    <row r="229" spans="1:19" x14ac:dyDescent="0.2">
      <c r="A229" t="s">
        <v>387</v>
      </c>
      <c r="B229" t="s">
        <v>418</v>
      </c>
      <c r="C229" s="1">
        <v>44706</v>
      </c>
      <c r="D229" s="2">
        <v>0.52361111111111114</v>
      </c>
      <c r="E229" s="1">
        <v>44707</v>
      </c>
      <c r="F229" s="2">
        <v>0.50694444444444442</v>
      </c>
      <c r="G229">
        <v>53.896189999999997</v>
      </c>
      <c r="H229">
        <v>123.613738</v>
      </c>
      <c r="I229" t="s">
        <v>23</v>
      </c>
      <c r="J229">
        <v>8</v>
      </c>
      <c r="L229" t="s">
        <v>24</v>
      </c>
      <c r="M229">
        <v>0</v>
      </c>
      <c r="Q229" t="s">
        <v>415</v>
      </c>
      <c r="R229">
        <v>150</v>
      </c>
    </row>
    <row r="230" spans="1:19" x14ac:dyDescent="0.2">
      <c r="A230" t="s">
        <v>387</v>
      </c>
      <c r="B230" t="s">
        <v>423</v>
      </c>
      <c r="C230" s="1">
        <v>44706</v>
      </c>
      <c r="D230" s="2">
        <v>0.53611111111111109</v>
      </c>
      <c r="E230" s="1">
        <v>44707</v>
      </c>
      <c r="F230" s="2">
        <v>0.56944444444444442</v>
      </c>
      <c r="G230">
        <v>53.895879000000001</v>
      </c>
      <c r="H230">
        <v>123.619525</v>
      </c>
      <c r="I230" t="s">
        <v>23</v>
      </c>
      <c r="J230">
        <v>7</v>
      </c>
      <c r="L230" t="s">
        <v>24</v>
      </c>
      <c r="M230">
        <v>0</v>
      </c>
      <c r="Q230" t="s">
        <v>25</v>
      </c>
      <c r="R230">
        <v>200</v>
      </c>
    </row>
    <row r="231" spans="1:19" x14ac:dyDescent="0.2">
      <c r="A231" t="s">
        <v>387</v>
      </c>
      <c r="B231" t="s">
        <v>420</v>
      </c>
      <c r="C231" s="1">
        <v>44706</v>
      </c>
      <c r="D231" s="2">
        <v>0.52986111111111112</v>
      </c>
      <c r="E231" s="1">
        <v>44707</v>
      </c>
      <c r="F231" s="2">
        <v>0.51388888888888895</v>
      </c>
      <c r="G231">
        <v>53.895510000000002</v>
      </c>
      <c r="H231">
        <v>123.616741</v>
      </c>
      <c r="I231" t="s">
        <v>23</v>
      </c>
      <c r="J231">
        <v>7.7</v>
      </c>
      <c r="L231" t="s">
        <v>24</v>
      </c>
      <c r="M231">
        <v>0</v>
      </c>
      <c r="Q231" t="s">
        <v>358</v>
      </c>
      <c r="R231">
        <v>100</v>
      </c>
    </row>
    <row r="232" spans="1:19" x14ac:dyDescent="0.2">
      <c r="A232" t="s">
        <v>387</v>
      </c>
      <c r="B232" t="s">
        <v>430</v>
      </c>
      <c r="C232" s="1">
        <v>44706</v>
      </c>
      <c r="D232" s="2">
        <v>0.66736111111111107</v>
      </c>
      <c r="E232" s="1">
        <v>44707</v>
      </c>
      <c r="F232" s="2">
        <v>0.59027777777777779</v>
      </c>
      <c r="G232">
        <v>53.898349000000003</v>
      </c>
      <c r="H232">
        <v>123.615905</v>
      </c>
      <c r="I232" t="s">
        <v>23</v>
      </c>
      <c r="J232">
        <v>7</v>
      </c>
      <c r="L232" t="s">
        <v>24</v>
      </c>
      <c r="M232">
        <v>0</v>
      </c>
      <c r="Q232" t="s">
        <v>358</v>
      </c>
      <c r="R232">
        <v>200</v>
      </c>
    </row>
    <row r="233" spans="1:19" x14ac:dyDescent="0.2">
      <c r="A233" t="s">
        <v>387</v>
      </c>
      <c r="B233" t="s">
        <v>425</v>
      </c>
      <c r="C233" s="1">
        <v>44706</v>
      </c>
      <c r="D233" s="2">
        <v>0.54027777777777775</v>
      </c>
      <c r="E233" s="1">
        <v>44707</v>
      </c>
      <c r="F233" s="2">
        <v>0.57500000000000007</v>
      </c>
      <c r="G233">
        <v>53.89631</v>
      </c>
      <c r="H233">
        <v>123.621137</v>
      </c>
      <c r="I233" t="s">
        <v>23</v>
      </c>
      <c r="J233">
        <v>5.2</v>
      </c>
      <c r="L233" t="s">
        <v>24</v>
      </c>
      <c r="M233">
        <v>0</v>
      </c>
      <c r="Q233" t="s">
        <v>25</v>
      </c>
      <c r="R233">
        <v>200</v>
      </c>
    </row>
    <row r="234" spans="1:19" x14ac:dyDescent="0.2">
      <c r="A234" t="s">
        <v>387</v>
      </c>
      <c r="B234" t="s">
        <v>413</v>
      </c>
      <c r="C234" s="1">
        <v>44706</v>
      </c>
      <c r="D234" s="2">
        <v>0.51527777777777783</v>
      </c>
      <c r="E234" s="1">
        <v>44707</v>
      </c>
      <c r="F234" s="2">
        <v>0.49305555555555558</v>
      </c>
      <c r="G234">
        <v>53.89734</v>
      </c>
      <c r="H234">
        <v>123.622917</v>
      </c>
      <c r="I234" t="s">
        <v>23</v>
      </c>
      <c r="J234">
        <v>2.8</v>
      </c>
      <c r="K234" t="s">
        <v>414</v>
      </c>
      <c r="L234" t="s">
        <v>24</v>
      </c>
      <c r="M234">
        <v>0</v>
      </c>
      <c r="Q234" t="s">
        <v>415</v>
      </c>
      <c r="R234">
        <v>100</v>
      </c>
    </row>
    <row r="235" spans="1:19" x14ac:dyDescent="0.2">
      <c r="A235" t="s">
        <v>387</v>
      </c>
      <c r="B235" t="s">
        <v>427</v>
      </c>
      <c r="C235" s="1">
        <v>44706</v>
      </c>
      <c r="D235" s="2">
        <v>0.66111111111111109</v>
      </c>
      <c r="E235" s="1">
        <v>44707</v>
      </c>
      <c r="F235" s="2">
        <v>0.57986111111111105</v>
      </c>
      <c r="G235">
        <v>53.896372</v>
      </c>
      <c r="H235">
        <v>123.62638099999999</v>
      </c>
      <c r="I235" t="s">
        <v>23</v>
      </c>
      <c r="J235">
        <v>4.5</v>
      </c>
      <c r="L235" t="s">
        <v>24</v>
      </c>
      <c r="M235">
        <v>0</v>
      </c>
      <c r="Q235" t="s">
        <v>358</v>
      </c>
      <c r="R235">
        <v>100</v>
      </c>
    </row>
    <row r="236" spans="1:19" x14ac:dyDescent="0.2">
      <c r="A236" t="s">
        <v>387</v>
      </c>
      <c r="B236" t="s">
        <v>426</v>
      </c>
      <c r="C236" s="1">
        <v>44706</v>
      </c>
      <c r="D236" s="2">
        <v>0.65833333333333333</v>
      </c>
      <c r="E236" s="1">
        <v>44707</v>
      </c>
      <c r="F236" s="2">
        <v>0.57638888888888895</v>
      </c>
      <c r="G236">
        <v>53.896104000000001</v>
      </c>
      <c r="H236">
        <v>123.622218</v>
      </c>
      <c r="I236" t="s">
        <v>23</v>
      </c>
      <c r="J236">
        <v>5.5</v>
      </c>
      <c r="L236" t="s">
        <v>24</v>
      </c>
      <c r="M236">
        <v>0</v>
      </c>
      <c r="Q236" t="s">
        <v>358</v>
      </c>
      <c r="R236">
        <v>200</v>
      </c>
    </row>
    <row r="237" spans="1:19" x14ac:dyDescent="0.2">
      <c r="A237" t="s">
        <v>387</v>
      </c>
      <c r="B237" t="s">
        <v>416</v>
      </c>
      <c r="C237" s="1">
        <v>44706</v>
      </c>
      <c r="D237" s="2">
        <v>0.51874999999999993</v>
      </c>
      <c r="E237" s="1">
        <v>44707</v>
      </c>
      <c r="F237" s="2">
        <v>0.49652777777777773</v>
      </c>
      <c r="G237">
        <v>53.895569999999999</v>
      </c>
      <c r="H237">
        <v>123.605341</v>
      </c>
      <c r="I237" t="s">
        <v>23</v>
      </c>
      <c r="J237">
        <v>1.5</v>
      </c>
      <c r="L237" t="s">
        <v>24</v>
      </c>
      <c r="M237">
        <v>0</v>
      </c>
      <c r="Q237" t="s">
        <v>415</v>
      </c>
      <c r="R237">
        <v>180</v>
      </c>
    </row>
    <row r="238" spans="1:19" x14ac:dyDescent="0.2">
      <c r="A238" t="s">
        <v>387</v>
      </c>
      <c r="B238" t="s">
        <v>421</v>
      </c>
      <c r="C238" s="1">
        <v>44706</v>
      </c>
      <c r="D238" s="2">
        <v>0.53194444444444444</v>
      </c>
      <c r="E238" s="1">
        <v>44707</v>
      </c>
      <c r="F238" s="2">
        <v>0.51736111111111105</v>
      </c>
      <c r="G238">
        <v>53.896016000000003</v>
      </c>
      <c r="H238">
        <v>123.62260000000001</v>
      </c>
      <c r="I238" t="s">
        <v>23</v>
      </c>
      <c r="J238">
        <v>8</v>
      </c>
      <c r="L238" t="s">
        <v>24</v>
      </c>
      <c r="M238">
        <v>0</v>
      </c>
      <c r="Q238" t="s">
        <v>25</v>
      </c>
      <c r="R238">
        <v>100</v>
      </c>
    </row>
    <row r="239" spans="1:19" x14ac:dyDescent="0.2">
      <c r="A239" t="s">
        <v>387</v>
      </c>
      <c r="B239" t="s">
        <v>417</v>
      </c>
      <c r="C239" s="1">
        <v>44706</v>
      </c>
      <c r="D239" s="2">
        <v>0.52083333333333337</v>
      </c>
      <c r="E239" s="1">
        <v>44707</v>
      </c>
      <c r="F239" s="2">
        <v>0.50347222222222221</v>
      </c>
      <c r="G239">
        <v>53.895994000000002</v>
      </c>
      <c r="H239">
        <v>123.610152</v>
      </c>
      <c r="I239" t="s">
        <v>23</v>
      </c>
      <c r="J239">
        <v>7.3</v>
      </c>
      <c r="L239" t="s">
        <v>24</v>
      </c>
      <c r="M239">
        <v>0</v>
      </c>
      <c r="Q239" t="s">
        <v>415</v>
      </c>
      <c r="R239">
        <v>180</v>
      </c>
    </row>
    <row r="240" spans="1:19" x14ac:dyDescent="0.2">
      <c r="A240" t="s">
        <v>387</v>
      </c>
      <c r="B240" t="s">
        <v>424</v>
      </c>
      <c r="C240" s="1">
        <v>44706</v>
      </c>
      <c r="D240" s="2">
        <v>0.53888888888888886</v>
      </c>
      <c r="E240" s="1">
        <v>44707</v>
      </c>
      <c r="F240" s="2">
        <v>0.57291666666666663</v>
      </c>
      <c r="G240">
        <v>53.895879000000001</v>
      </c>
      <c r="H240">
        <v>123.619525</v>
      </c>
      <c r="I240" t="s">
        <v>23</v>
      </c>
      <c r="J240">
        <v>6.8</v>
      </c>
      <c r="L240" t="s">
        <v>24</v>
      </c>
      <c r="M240">
        <v>0</v>
      </c>
      <c r="Q240" t="s">
        <v>25</v>
      </c>
      <c r="R240">
        <v>150</v>
      </c>
    </row>
    <row r="241" spans="1:18" x14ac:dyDescent="0.2">
      <c r="A241" t="s">
        <v>387</v>
      </c>
      <c r="B241" t="s">
        <v>429</v>
      </c>
      <c r="C241" s="1">
        <v>44706</v>
      </c>
      <c r="D241" s="2">
        <v>0.66527777777777775</v>
      </c>
      <c r="E241" s="1">
        <v>44707</v>
      </c>
      <c r="F241" s="2">
        <v>0.58680555555555558</v>
      </c>
      <c r="G241">
        <v>53.898049999999998</v>
      </c>
      <c r="H241">
        <v>123.617465</v>
      </c>
      <c r="I241" t="s">
        <v>23</v>
      </c>
      <c r="J241">
        <v>7.5</v>
      </c>
      <c r="L241" t="s">
        <v>24</v>
      </c>
      <c r="M241">
        <v>0</v>
      </c>
      <c r="Q241" t="s">
        <v>358</v>
      </c>
      <c r="R241">
        <v>200</v>
      </c>
    </row>
    <row r="242" spans="1:18" x14ac:dyDescent="0.2">
      <c r="A242" t="s">
        <v>387</v>
      </c>
      <c r="B242" t="s">
        <v>428</v>
      </c>
      <c r="C242" s="1">
        <v>44706</v>
      </c>
      <c r="D242" s="2">
        <v>0.66388888888888886</v>
      </c>
      <c r="E242" s="1">
        <v>44707</v>
      </c>
      <c r="F242" s="2">
        <v>0.58333333333333337</v>
      </c>
      <c r="G242">
        <v>53.897548999999998</v>
      </c>
      <c r="H242">
        <v>123.616989</v>
      </c>
      <c r="I242" t="s">
        <v>23</v>
      </c>
      <c r="J242">
        <v>7.4</v>
      </c>
      <c r="L242" t="s">
        <v>24</v>
      </c>
      <c r="M242">
        <v>0</v>
      </c>
      <c r="Q242" t="s">
        <v>358</v>
      </c>
      <c r="R242">
        <v>150</v>
      </c>
    </row>
    <row r="243" spans="1:18" x14ac:dyDescent="0.2">
      <c r="A243" t="s">
        <v>453</v>
      </c>
      <c r="B243" t="s">
        <v>467</v>
      </c>
      <c r="C243" s="1">
        <v>44711</v>
      </c>
      <c r="D243" s="2">
        <v>0.70694444444444438</v>
      </c>
      <c r="E243" s="1">
        <v>44712</v>
      </c>
      <c r="F243" s="2">
        <v>0.45277777777777778</v>
      </c>
      <c r="G243">
        <v>54.770122000000001</v>
      </c>
      <c r="H243">
        <v>123.40308400000001</v>
      </c>
      <c r="I243" t="s">
        <v>23</v>
      </c>
      <c r="J243">
        <v>6</v>
      </c>
      <c r="L243" t="s">
        <v>24</v>
      </c>
      <c r="M243">
        <v>0</v>
      </c>
      <c r="Q243" t="s">
        <v>455</v>
      </c>
      <c r="R243">
        <v>200</v>
      </c>
    </row>
    <row r="244" spans="1:18" x14ac:dyDescent="0.2">
      <c r="A244" t="s">
        <v>453</v>
      </c>
      <c r="B244" t="s">
        <v>465</v>
      </c>
      <c r="C244" s="1">
        <v>44711</v>
      </c>
      <c r="D244" s="2">
        <v>0.69444444444444453</v>
      </c>
      <c r="E244" s="1">
        <v>44712</v>
      </c>
      <c r="F244" s="2">
        <v>0.44375000000000003</v>
      </c>
      <c r="G244">
        <v>54.774838000000003</v>
      </c>
      <c r="H244">
        <v>123.42660100000001</v>
      </c>
      <c r="I244" t="s">
        <v>23</v>
      </c>
      <c r="J244">
        <v>10.199999999999999</v>
      </c>
      <c r="L244" t="s">
        <v>24</v>
      </c>
      <c r="M244">
        <v>0</v>
      </c>
      <c r="Q244" t="s">
        <v>455</v>
      </c>
      <c r="R244">
        <v>140</v>
      </c>
    </row>
    <row r="245" spans="1:18" x14ac:dyDescent="0.2">
      <c r="A245" t="s">
        <v>453</v>
      </c>
      <c r="B245" t="s">
        <v>463</v>
      </c>
      <c r="C245" s="1">
        <v>44711</v>
      </c>
      <c r="D245" s="2">
        <v>0.67986111111111114</v>
      </c>
      <c r="E245" s="1">
        <v>44712</v>
      </c>
      <c r="F245" s="2">
        <v>0.43472222222222223</v>
      </c>
      <c r="G245">
        <v>54.770201</v>
      </c>
      <c r="H245">
        <v>123.407375</v>
      </c>
      <c r="I245" t="s">
        <v>23</v>
      </c>
      <c r="J245">
        <v>10.4</v>
      </c>
      <c r="L245" t="s">
        <v>24</v>
      </c>
      <c r="M245">
        <v>0</v>
      </c>
      <c r="Q245" t="s">
        <v>455</v>
      </c>
      <c r="R245">
        <v>100</v>
      </c>
    </row>
    <row r="246" spans="1:18" x14ac:dyDescent="0.2">
      <c r="A246" t="s">
        <v>453</v>
      </c>
      <c r="B246" t="s">
        <v>464</v>
      </c>
      <c r="C246" s="1">
        <v>44711</v>
      </c>
      <c r="D246" s="2">
        <v>0.68541666666666667</v>
      </c>
      <c r="E246" s="1">
        <v>44712</v>
      </c>
      <c r="F246" s="2">
        <v>0.43888888888888888</v>
      </c>
      <c r="G246">
        <v>54.770099999999999</v>
      </c>
      <c r="H246">
        <v>123.41376200000001</v>
      </c>
      <c r="I246" t="s">
        <v>23</v>
      </c>
      <c r="J246">
        <v>10</v>
      </c>
      <c r="L246" t="s">
        <v>24</v>
      </c>
      <c r="M246">
        <v>0</v>
      </c>
      <c r="Q246" t="s">
        <v>455</v>
      </c>
      <c r="R246">
        <v>150</v>
      </c>
    </row>
    <row r="247" spans="1:18" x14ac:dyDescent="0.2">
      <c r="A247" t="s">
        <v>453</v>
      </c>
      <c r="B247" t="s">
        <v>461</v>
      </c>
      <c r="C247" s="1">
        <v>44711</v>
      </c>
      <c r="D247" s="2">
        <v>0.6694444444444444</v>
      </c>
      <c r="E247" s="1">
        <v>44712</v>
      </c>
      <c r="F247" s="2">
        <v>0.42499999999999999</v>
      </c>
      <c r="G247">
        <v>54.774192999999997</v>
      </c>
      <c r="H247">
        <v>123.402129</v>
      </c>
      <c r="I247" t="s">
        <v>23</v>
      </c>
      <c r="J247">
        <v>5.4</v>
      </c>
      <c r="L247" t="s">
        <v>24</v>
      </c>
      <c r="M247">
        <v>0</v>
      </c>
      <c r="Q247" t="s">
        <v>455</v>
      </c>
      <c r="R247">
        <v>160</v>
      </c>
    </row>
    <row r="248" spans="1:18" x14ac:dyDescent="0.2">
      <c r="A248" t="s">
        <v>453</v>
      </c>
      <c r="B248" t="s">
        <v>454</v>
      </c>
      <c r="C248" s="1">
        <v>44711</v>
      </c>
      <c r="D248" s="2">
        <v>0.64722222222222225</v>
      </c>
      <c r="E248" s="1">
        <v>44712</v>
      </c>
      <c r="F248" s="2">
        <v>0.3888888888888889</v>
      </c>
      <c r="G248">
        <v>54.786724</v>
      </c>
      <c r="H248">
        <v>123.36977400000001</v>
      </c>
      <c r="I248" t="s">
        <v>23</v>
      </c>
      <c r="J248">
        <v>3.3</v>
      </c>
      <c r="L248" t="s">
        <v>24</v>
      </c>
      <c r="M248">
        <v>0</v>
      </c>
      <c r="O248">
        <v>70.5</v>
      </c>
      <c r="P248">
        <v>2550</v>
      </c>
      <c r="Q248" t="s">
        <v>455</v>
      </c>
      <c r="R248">
        <v>100</v>
      </c>
    </row>
    <row r="249" spans="1:18" x14ac:dyDescent="0.2">
      <c r="A249" t="s">
        <v>453</v>
      </c>
      <c r="B249" t="s">
        <v>459</v>
      </c>
      <c r="C249" s="1">
        <v>44711</v>
      </c>
      <c r="D249" s="2">
        <v>0.65763888888888888</v>
      </c>
      <c r="E249" s="1">
        <v>44712</v>
      </c>
      <c r="F249" s="2">
        <v>0.41319444444444442</v>
      </c>
      <c r="G249">
        <v>54.778232000000003</v>
      </c>
      <c r="H249">
        <v>123.38280399999999</v>
      </c>
      <c r="I249" t="s">
        <v>23</v>
      </c>
      <c r="J249">
        <v>4.2</v>
      </c>
      <c r="L249" t="s">
        <v>24</v>
      </c>
      <c r="M249">
        <v>0</v>
      </c>
      <c r="Q249" t="s">
        <v>455</v>
      </c>
      <c r="R249">
        <v>130</v>
      </c>
    </row>
    <row r="250" spans="1:18" x14ac:dyDescent="0.2">
      <c r="A250" t="s">
        <v>453</v>
      </c>
      <c r="B250" t="s">
        <v>468</v>
      </c>
      <c r="C250" s="1">
        <v>44711</v>
      </c>
      <c r="D250" s="2">
        <v>0.71111111111111114</v>
      </c>
      <c r="E250" s="1">
        <v>44712</v>
      </c>
      <c r="F250" s="2">
        <v>0.4548611111111111</v>
      </c>
      <c r="G250">
        <v>54.768408000000001</v>
      </c>
      <c r="H250">
        <v>123.40154699999999</v>
      </c>
      <c r="I250" t="s">
        <v>23</v>
      </c>
      <c r="J250">
        <v>5.4</v>
      </c>
      <c r="L250" t="s">
        <v>24</v>
      </c>
      <c r="M250">
        <v>0</v>
      </c>
      <c r="Q250" t="s">
        <v>455</v>
      </c>
      <c r="R250">
        <v>110</v>
      </c>
    </row>
    <row r="251" spans="1:18" x14ac:dyDescent="0.2">
      <c r="A251" t="s">
        <v>453</v>
      </c>
      <c r="B251" t="s">
        <v>474</v>
      </c>
      <c r="C251" s="1">
        <v>44711</v>
      </c>
      <c r="D251" s="2">
        <v>0.73611111111111116</v>
      </c>
      <c r="E251" s="1">
        <v>44712</v>
      </c>
      <c r="F251" s="2">
        <v>0.48888888888888887</v>
      </c>
      <c r="G251">
        <v>54.759248999999997</v>
      </c>
      <c r="H251">
        <v>123.394482</v>
      </c>
      <c r="I251" t="s">
        <v>23</v>
      </c>
      <c r="J251">
        <v>5.6</v>
      </c>
      <c r="L251" t="s">
        <v>117</v>
      </c>
      <c r="M251">
        <v>1</v>
      </c>
      <c r="Q251" t="s">
        <v>455</v>
      </c>
      <c r="R251">
        <v>160</v>
      </c>
    </row>
    <row r="252" spans="1:18" x14ac:dyDescent="0.2">
      <c r="A252" t="s">
        <v>453</v>
      </c>
      <c r="B252" t="s">
        <v>466</v>
      </c>
      <c r="C252" s="1">
        <v>44711</v>
      </c>
      <c r="D252" s="2">
        <v>0.69861111111111107</v>
      </c>
      <c r="E252" s="1">
        <v>44712</v>
      </c>
      <c r="F252" s="2">
        <v>0.4465277777777778</v>
      </c>
      <c r="G252">
        <v>54.777343000000002</v>
      </c>
      <c r="H252">
        <v>123.422022</v>
      </c>
      <c r="I252" t="s">
        <v>23</v>
      </c>
      <c r="J252">
        <v>5.6</v>
      </c>
      <c r="L252" t="s">
        <v>24</v>
      </c>
      <c r="M252">
        <v>0</v>
      </c>
      <c r="Q252" t="s">
        <v>455</v>
      </c>
      <c r="R252">
        <v>150</v>
      </c>
    </row>
    <row r="253" spans="1:18" x14ac:dyDescent="0.2">
      <c r="A253" t="s">
        <v>387</v>
      </c>
      <c r="B253" t="s">
        <v>449</v>
      </c>
      <c r="C253" s="1">
        <v>44711</v>
      </c>
      <c r="D253" s="2">
        <v>0.61111111111111105</v>
      </c>
      <c r="E253" s="1">
        <v>44712</v>
      </c>
      <c r="F253" s="2">
        <v>0.63541666666666663</v>
      </c>
      <c r="G253">
        <v>53.874932000000001</v>
      </c>
      <c r="H253">
        <v>123.544344</v>
      </c>
      <c r="I253" t="s">
        <v>23</v>
      </c>
      <c r="J253">
        <v>5</v>
      </c>
      <c r="L253" t="s">
        <v>24</v>
      </c>
      <c r="M253">
        <v>0</v>
      </c>
      <c r="Q253" t="s">
        <v>358</v>
      </c>
      <c r="R253">
        <v>100</v>
      </c>
    </row>
    <row r="254" spans="1:18" x14ac:dyDescent="0.2">
      <c r="A254" t="s">
        <v>387</v>
      </c>
      <c r="B254" t="s">
        <v>437</v>
      </c>
      <c r="C254" s="1">
        <v>44711</v>
      </c>
      <c r="D254" s="2">
        <v>0.53819444444444442</v>
      </c>
      <c r="E254" s="1">
        <v>44712</v>
      </c>
      <c r="F254" s="2">
        <v>0.52430555555555558</v>
      </c>
      <c r="G254">
        <v>53.883572000000001</v>
      </c>
      <c r="H254">
        <v>123.464062</v>
      </c>
      <c r="I254" t="s">
        <v>23</v>
      </c>
      <c r="J254">
        <v>9.5</v>
      </c>
      <c r="L254" t="s">
        <v>24</v>
      </c>
      <c r="M254">
        <v>0</v>
      </c>
      <c r="Q254" t="s">
        <v>358</v>
      </c>
      <c r="R254">
        <v>100</v>
      </c>
    </row>
    <row r="255" spans="1:18" x14ac:dyDescent="0.2">
      <c r="A255" t="s">
        <v>387</v>
      </c>
      <c r="B255" t="s">
        <v>447</v>
      </c>
      <c r="C255" s="1">
        <v>44711</v>
      </c>
      <c r="D255" s="2">
        <v>0.60416666666666663</v>
      </c>
      <c r="E255" s="1">
        <v>44712</v>
      </c>
      <c r="F255" s="2">
        <v>0.62847222222222221</v>
      </c>
      <c r="G255">
        <v>53.887340999999999</v>
      </c>
      <c r="H255">
        <v>123.529427</v>
      </c>
      <c r="I255" t="s">
        <v>23</v>
      </c>
      <c r="J255">
        <v>7</v>
      </c>
      <c r="L255" t="s">
        <v>24</v>
      </c>
      <c r="M255">
        <v>0</v>
      </c>
      <c r="Q255" t="s">
        <v>358</v>
      </c>
      <c r="R255">
        <v>100</v>
      </c>
    </row>
    <row r="256" spans="1:18" x14ac:dyDescent="0.2">
      <c r="A256" t="s">
        <v>387</v>
      </c>
      <c r="B256" t="s">
        <v>448</v>
      </c>
      <c r="C256" s="1">
        <v>44711</v>
      </c>
      <c r="D256" s="2">
        <v>0.60763888888888895</v>
      </c>
      <c r="E256" s="1">
        <v>44712</v>
      </c>
      <c r="F256" s="2">
        <v>0.63194444444444442</v>
      </c>
      <c r="G256">
        <v>53.887934000000001</v>
      </c>
      <c r="H256">
        <v>123.536917</v>
      </c>
      <c r="I256" t="s">
        <v>23</v>
      </c>
      <c r="J256">
        <v>5</v>
      </c>
      <c r="L256" t="s">
        <v>24</v>
      </c>
      <c r="M256">
        <v>0</v>
      </c>
      <c r="Q256" t="s">
        <v>358</v>
      </c>
      <c r="R256">
        <v>100</v>
      </c>
    </row>
    <row r="257" spans="1:19" x14ac:dyDescent="0.2">
      <c r="A257" t="s">
        <v>387</v>
      </c>
      <c r="B257" t="s">
        <v>442</v>
      </c>
      <c r="C257" s="1">
        <v>44711</v>
      </c>
      <c r="D257" s="2">
        <v>0.58333333333333337</v>
      </c>
      <c r="E257" s="1">
        <v>44712</v>
      </c>
      <c r="F257" s="2">
        <v>0.60416666666666663</v>
      </c>
      <c r="G257">
        <v>53.876956999999997</v>
      </c>
      <c r="H257">
        <v>123.497421</v>
      </c>
      <c r="I257" t="s">
        <v>23</v>
      </c>
      <c r="J257">
        <v>8</v>
      </c>
      <c r="L257" t="s">
        <v>24</v>
      </c>
      <c r="M257">
        <v>0</v>
      </c>
      <c r="Q257" t="s">
        <v>358</v>
      </c>
      <c r="R257">
        <v>100</v>
      </c>
    </row>
    <row r="258" spans="1:19" x14ac:dyDescent="0.2">
      <c r="A258" t="s">
        <v>387</v>
      </c>
      <c r="B258" t="s">
        <v>435</v>
      </c>
      <c r="C258" s="1">
        <v>44711</v>
      </c>
      <c r="D258" s="2">
        <v>0.52777777777777779</v>
      </c>
      <c r="E258" s="1">
        <v>44712</v>
      </c>
      <c r="F258" s="2">
        <v>0.51388888888888895</v>
      </c>
      <c r="G258">
        <v>53.880479999999999</v>
      </c>
      <c r="H258">
        <v>123.480503</v>
      </c>
      <c r="I258" t="s">
        <v>23</v>
      </c>
      <c r="J258">
        <v>8.5</v>
      </c>
      <c r="L258" t="s">
        <v>24</v>
      </c>
      <c r="M258">
        <v>0</v>
      </c>
      <c r="Q258" t="s">
        <v>358</v>
      </c>
      <c r="R258">
        <v>100</v>
      </c>
    </row>
    <row r="259" spans="1:19" x14ac:dyDescent="0.2">
      <c r="A259" t="s">
        <v>387</v>
      </c>
      <c r="B259" t="s">
        <v>445</v>
      </c>
      <c r="C259" s="1">
        <v>44711</v>
      </c>
      <c r="D259" s="2">
        <v>0.59375</v>
      </c>
      <c r="E259" s="1">
        <v>44712</v>
      </c>
      <c r="F259" s="2">
        <v>0.61805555555555558</v>
      </c>
      <c r="G259">
        <v>53.877170999999997</v>
      </c>
      <c r="H259">
        <v>123.519509</v>
      </c>
      <c r="I259" t="s">
        <v>23</v>
      </c>
      <c r="J259">
        <v>7</v>
      </c>
      <c r="L259" t="s">
        <v>24</v>
      </c>
      <c r="M259">
        <v>0</v>
      </c>
      <c r="Q259" t="s">
        <v>358</v>
      </c>
      <c r="R259">
        <v>100</v>
      </c>
    </row>
    <row r="260" spans="1:19" x14ac:dyDescent="0.2">
      <c r="A260" t="s">
        <v>387</v>
      </c>
      <c r="B260" t="s">
        <v>431</v>
      </c>
      <c r="C260" s="1">
        <v>44711</v>
      </c>
      <c r="D260" s="2">
        <v>0.51388888888888895</v>
      </c>
      <c r="E260" s="1">
        <v>44712</v>
      </c>
      <c r="F260" s="2">
        <v>0.49305555555555558</v>
      </c>
      <c r="G260">
        <v>53.881573000000003</v>
      </c>
      <c r="H260">
        <v>123.466235</v>
      </c>
      <c r="I260" t="s">
        <v>23</v>
      </c>
      <c r="J260">
        <v>7</v>
      </c>
      <c r="K260" t="s">
        <v>432</v>
      </c>
      <c r="L260" t="s">
        <v>117</v>
      </c>
      <c r="M260">
        <v>3</v>
      </c>
      <c r="Q260" t="s">
        <v>358</v>
      </c>
      <c r="R260">
        <v>100</v>
      </c>
    </row>
    <row r="261" spans="1:19" x14ac:dyDescent="0.2">
      <c r="A261" t="s">
        <v>387</v>
      </c>
      <c r="B261" t="s">
        <v>441</v>
      </c>
      <c r="C261" s="1">
        <v>44711</v>
      </c>
      <c r="D261" s="2">
        <v>0.55208333333333337</v>
      </c>
      <c r="E261" s="1">
        <v>44712</v>
      </c>
      <c r="F261" s="2">
        <v>0.53819444444444442</v>
      </c>
      <c r="G261">
        <v>53.887785999999998</v>
      </c>
      <c r="H261">
        <v>123.48941600000001</v>
      </c>
      <c r="I261" t="s">
        <v>23</v>
      </c>
      <c r="J261">
        <v>6.5</v>
      </c>
      <c r="L261" t="s">
        <v>24</v>
      </c>
      <c r="M261">
        <v>0</v>
      </c>
      <c r="Q261" t="s">
        <v>358</v>
      </c>
      <c r="R261">
        <v>100</v>
      </c>
    </row>
    <row r="262" spans="1:19" x14ac:dyDescent="0.2">
      <c r="A262" t="s">
        <v>387</v>
      </c>
      <c r="B262" t="s">
        <v>446</v>
      </c>
      <c r="C262" s="1">
        <v>44711</v>
      </c>
      <c r="D262" s="2">
        <v>0.60069444444444442</v>
      </c>
      <c r="E262" s="1">
        <v>44712</v>
      </c>
      <c r="F262" s="2">
        <v>0.62152777777777779</v>
      </c>
      <c r="G262">
        <v>53.885081</v>
      </c>
      <c r="H262">
        <v>123.520268</v>
      </c>
      <c r="I262" t="s">
        <v>23</v>
      </c>
      <c r="J262">
        <v>4</v>
      </c>
      <c r="L262" t="s">
        <v>24</v>
      </c>
      <c r="M262">
        <v>0</v>
      </c>
      <c r="Q262" t="s">
        <v>358</v>
      </c>
      <c r="R262">
        <v>100</v>
      </c>
    </row>
    <row r="263" spans="1:19" x14ac:dyDescent="0.2">
      <c r="A263" t="s">
        <v>387</v>
      </c>
      <c r="B263" t="s">
        <v>440</v>
      </c>
      <c r="C263" s="1">
        <v>44711</v>
      </c>
      <c r="D263" s="2">
        <v>0.54513888888888895</v>
      </c>
      <c r="E263" s="1">
        <v>44712</v>
      </c>
      <c r="F263" s="2">
        <v>0.52777777777777779</v>
      </c>
      <c r="G263">
        <v>53.884520000000002</v>
      </c>
      <c r="H263">
        <v>123.467429</v>
      </c>
      <c r="I263" t="s">
        <v>23</v>
      </c>
      <c r="J263">
        <v>6</v>
      </c>
      <c r="L263" t="s">
        <v>24</v>
      </c>
      <c r="M263">
        <v>0</v>
      </c>
      <c r="Q263" t="s">
        <v>358</v>
      </c>
      <c r="R263">
        <v>100</v>
      </c>
    </row>
    <row r="264" spans="1:19" x14ac:dyDescent="0.2">
      <c r="A264" t="s">
        <v>387</v>
      </c>
      <c r="B264" t="s">
        <v>436</v>
      </c>
      <c r="C264" s="1">
        <v>44711</v>
      </c>
      <c r="D264" s="2">
        <v>0.53125</v>
      </c>
      <c r="E264" s="1">
        <v>44712</v>
      </c>
      <c r="F264" s="2">
        <v>0.51736111111111105</v>
      </c>
      <c r="G264">
        <v>53.879238999999998</v>
      </c>
      <c r="H264">
        <v>123.47142100000001</v>
      </c>
      <c r="I264" t="s">
        <v>23</v>
      </c>
      <c r="J264">
        <v>3</v>
      </c>
      <c r="L264" t="s">
        <v>24</v>
      </c>
      <c r="M264">
        <v>0</v>
      </c>
      <c r="Q264" t="s">
        <v>358</v>
      </c>
      <c r="R264">
        <v>100</v>
      </c>
    </row>
    <row r="265" spans="1:19" x14ac:dyDescent="0.2">
      <c r="A265" t="s">
        <v>387</v>
      </c>
      <c r="B265" t="s">
        <v>444</v>
      </c>
      <c r="C265" s="1">
        <v>44711</v>
      </c>
      <c r="D265" s="2">
        <v>0.59027777777777779</v>
      </c>
      <c r="E265" s="1">
        <v>44712</v>
      </c>
      <c r="F265" s="2">
        <v>0.61458333333333337</v>
      </c>
      <c r="G265">
        <v>53.877298000000003</v>
      </c>
      <c r="H265">
        <v>123.51111</v>
      </c>
      <c r="I265" t="s">
        <v>23</v>
      </c>
      <c r="J265">
        <v>5</v>
      </c>
      <c r="L265" t="s">
        <v>24</v>
      </c>
      <c r="M265">
        <v>0</v>
      </c>
      <c r="Q265" t="s">
        <v>358</v>
      </c>
      <c r="R265">
        <v>100</v>
      </c>
    </row>
    <row r="266" spans="1:19" x14ac:dyDescent="0.2">
      <c r="A266" t="s">
        <v>387</v>
      </c>
      <c r="B266" t="s">
        <v>443</v>
      </c>
      <c r="C266" s="1">
        <v>44711</v>
      </c>
      <c r="D266" s="2">
        <v>0.58680555555555558</v>
      </c>
      <c r="E266" s="1">
        <v>44712</v>
      </c>
      <c r="F266" s="2">
        <v>0.61111111111111105</v>
      </c>
      <c r="G266">
        <v>53.877468</v>
      </c>
      <c r="H266">
        <v>123.495086</v>
      </c>
      <c r="I266" t="s">
        <v>23</v>
      </c>
      <c r="J266">
        <v>4</v>
      </c>
      <c r="L266" t="s">
        <v>24</v>
      </c>
      <c r="M266">
        <v>0</v>
      </c>
      <c r="Q266" t="s">
        <v>358</v>
      </c>
      <c r="R266">
        <v>100</v>
      </c>
    </row>
    <row r="267" spans="1:19" x14ac:dyDescent="0.2">
      <c r="A267" t="s">
        <v>387</v>
      </c>
      <c r="B267" t="s">
        <v>438</v>
      </c>
      <c r="C267" s="1">
        <v>44711</v>
      </c>
      <c r="D267" s="2">
        <v>0.54166666666666663</v>
      </c>
      <c r="E267" s="1">
        <v>44712</v>
      </c>
      <c r="F267" s="2">
        <v>0.53125</v>
      </c>
      <c r="G267">
        <v>53.884006999999997</v>
      </c>
      <c r="H267">
        <v>123.46198200000001</v>
      </c>
      <c r="I267" t="s">
        <v>23</v>
      </c>
      <c r="J267">
        <v>1.7</v>
      </c>
      <c r="L267" t="s">
        <v>439</v>
      </c>
      <c r="M267">
        <v>2</v>
      </c>
      <c r="Q267" t="s">
        <v>358</v>
      </c>
      <c r="R267">
        <v>100</v>
      </c>
    </row>
    <row r="268" spans="1:19" x14ac:dyDescent="0.2">
      <c r="A268" t="s">
        <v>453</v>
      </c>
      <c r="B268" t="s">
        <v>491</v>
      </c>
      <c r="C268" s="1">
        <v>44712</v>
      </c>
      <c r="D268" s="2">
        <v>0.58472222222222225</v>
      </c>
      <c r="E268" s="1">
        <v>44713</v>
      </c>
      <c r="F268" s="2">
        <v>0.41319444444444442</v>
      </c>
      <c r="G268">
        <v>54.741039999999998</v>
      </c>
      <c r="H268">
        <v>123.360215</v>
      </c>
      <c r="I268" t="s">
        <v>23</v>
      </c>
      <c r="J268">
        <v>8.8000000000000007</v>
      </c>
      <c r="L268" t="s">
        <v>24</v>
      </c>
      <c r="M268">
        <v>0</v>
      </c>
      <c r="Q268" t="s">
        <v>455</v>
      </c>
      <c r="R268">
        <v>250</v>
      </c>
      <c r="S268" t="s">
        <v>484</v>
      </c>
    </row>
    <row r="269" spans="1:19" x14ac:dyDescent="0.2">
      <c r="A269" t="s">
        <v>453</v>
      </c>
      <c r="B269" t="s">
        <v>505</v>
      </c>
      <c r="C269" s="1">
        <v>44712</v>
      </c>
      <c r="D269" s="2">
        <v>0.64166666666666672</v>
      </c>
      <c r="E269" s="1">
        <v>44713</v>
      </c>
      <c r="F269" s="2">
        <v>0.48958333333333331</v>
      </c>
      <c r="G269">
        <v>54.719425999999999</v>
      </c>
      <c r="H269">
        <v>123.366342</v>
      </c>
      <c r="I269" t="s">
        <v>23</v>
      </c>
      <c r="J269">
        <v>3.1</v>
      </c>
      <c r="L269" t="s">
        <v>117</v>
      </c>
      <c r="M269">
        <v>1</v>
      </c>
      <c r="Q269" t="s">
        <v>455</v>
      </c>
      <c r="R269">
        <v>150</v>
      </c>
      <c r="S269" t="s">
        <v>484</v>
      </c>
    </row>
    <row r="270" spans="1:19" x14ac:dyDescent="0.2">
      <c r="A270" t="s">
        <v>453</v>
      </c>
      <c r="B270" t="s">
        <v>501</v>
      </c>
      <c r="C270" s="1">
        <v>44712</v>
      </c>
      <c r="D270" s="2">
        <v>0.61805555555555558</v>
      </c>
      <c r="E270" s="1">
        <v>44713</v>
      </c>
      <c r="F270" s="2">
        <v>0.46458333333333335</v>
      </c>
      <c r="G270">
        <v>54.727561999999999</v>
      </c>
      <c r="H270">
        <v>123.316536</v>
      </c>
      <c r="I270" t="s">
        <v>23</v>
      </c>
      <c r="J270">
        <v>8.5</v>
      </c>
      <c r="L270" t="s">
        <v>24</v>
      </c>
      <c r="M270">
        <v>0</v>
      </c>
      <c r="Q270" t="s">
        <v>455</v>
      </c>
      <c r="R270">
        <v>200</v>
      </c>
      <c r="S270" t="s">
        <v>484</v>
      </c>
    </row>
    <row r="271" spans="1:19" x14ac:dyDescent="0.2">
      <c r="A271" t="s">
        <v>453</v>
      </c>
      <c r="B271" t="s">
        <v>485</v>
      </c>
      <c r="C271" s="1">
        <v>44712</v>
      </c>
      <c r="D271" s="2">
        <v>0.55972222222222223</v>
      </c>
      <c r="E271" s="1">
        <v>44713</v>
      </c>
      <c r="F271" s="2">
        <v>0.3923611111111111</v>
      </c>
      <c r="G271">
        <v>54.751522000000001</v>
      </c>
      <c r="H271">
        <v>123.366433</v>
      </c>
      <c r="I271" t="s">
        <v>23</v>
      </c>
      <c r="J271">
        <v>5.6</v>
      </c>
      <c r="L271" t="s">
        <v>24</v>
      </c>
      <c r="M271">
        <v>0</v>
      </c>
      <c r="Q271" t="s">
        <v>455</v>
      </c>
      <c r="R271">
        <v>250</v>
      </c>
      <c r="S271" t="s">
        <v>484</v>
      </c>
    </row>
    <row r="272" spans="1:19" x14ac:dyDescent="0.2">
      <c r="A272" t="s">
        <v>453</v>
      </c>
      <c r="B272" t="s">
        <v>508</v>
      </c>
      <c r="C272" s="1">
        <v>44712</v>
      </c>
      <c r="D272" s="2">
        <v>0.65</v>
      </c>
      <c r="E272" s="1">
        <v>44713</v>
      </c>
      <c r="F272" s="2">
        <v>0.49374999999999997</v>
      </c>
      <c r="G272">
        <v>54.720841999999998</v>
      </c>
      <c r="H272">
        <v>123.372669</v>
      </c>
      <c r="I272" t="s">
        <v>23</v>
      </c>
      <c r="J272">
        <v>9.3000000000000007</v>
      </c>
      <c r="L272" t="s">
        <v>24</v>
      </c>
      <c r="M272">
        <v>0</v>
      </c>
      <c r="Q272" t="s">
        <v>455</v>
      </c>
      <c r="R272">
        <v>150</v>
      </c>
      <c r="S272" t="s">
        <v>484</v>
      </c>
    </row>
    <row r="273" spans="1:19" x14ac:dyDescent="0.2">
      <c r="A273" t="s">
        <v>453</v>
      </c>
      <c r="B273" t="s">
        <v>493</v>
      </c>
      <c r="C273" s="1">
        <v>44712</v>
      </c>
      <c r="D273" s="2">
        <v>0.59861111111111109</v>
      </c>
      <c r="E273" s="1">
        <v>44713</v>
      </c>
      <c r="F273" s="2">
        <v>0.42569444444444443</v>
      </c>
      <c r="G273">
        <v>54.746699999999997</v>
      </c>
      <c r="H273">
        <v>123.330021</v>
      </c>
      <c r="I273" t="s">
        <v>23</v>
      </c>
      <c r="J273">
        <v>5.3</v>
      </c>
      <c r="L273" t="s">
        <v>117</v>
      </c>
      <c r="M273">
        <v>1</v>
      </c>
      <c r="Q273" t="s">
        <v>455</v>
      </c>
      <c r="R273">
        <v>150</v>
      </c>
      <c r="S273" t="s">
        <v>484</v>
      </c>
    </row>
    <row r="274" spans="1:19" x14ac:dyDescent="0.2">
      <c r="A274" t="s">
        <v>453</v>
      </c>
      <c r="B274" t="s">
        <v>489</v>
      </c>
      <c r="C274" s="1">
        <v>44712</v>
      </c>
      <c r="D274" s="2">
        <v>0.56944444444444442</v>
      </c>
      <c r="E274" s="1">
        <v>44713</v>
      </c>
      <c r="F274" s="2">
        <v>0.40277777777777773</v>
      </c>
      <c r="G274">
        <v>54.742829999999998</v>
      </c>
      <c r="H274">
        <v>123.374578</v>
      </c>
      <c r="I274" t="s">
        <v>23</v>
      </c>
      <c r="J274">
        <v>5.3</v>
      </c>
      <c r="L274" t="s">
        <v>117</v>
      </c>
      <c r="M274">
        <v>1</v>
      </c>
      <c r="Q274" t="s">
        <v>455</v>
      </c>
      <c r="R274">
        <v>225</v>
      </c>
      <c r="S274" t="s">
        <v>484</v>
      </c>
    </row>
    <row r="275" spans="1:19" x14ac:dyDescent="0.2">
      <c r="A275" t="s">
        <v>453</v>
      </c>
      <c r="B275" t="s">
        <v>483</v>
      </c>
      <c r="C275" s="1">
        <v>44712</v>
      </c>
      <c r="D275" s="2">
        <v>0.55208333333333337</v>
      </c>
      <c r="E275" s="1">
        <v>44713</v>
      </c>
      <c r="F275" s="2">
        <v>0.38819444444444445</v>
      </c>
      <c r="G275">
        <v>54.751660999999999</v>
      </c>
      <c r="H275">
        <v>123.35281000000001</v>
      </c>
      <c r="I275" t="s">
        <v>23</v>
      </c>
      <c r="J275">
        <v>4.0999999999999996</v>
      </c>
      <c r="L275" t="s">
        <v>117</v>
      </c>
      <c r="M275">
        <v>1</v>
      </c>
      <c r="Q275" t="s">
        <v>455</v>
      </c>
      <c r="R275">
        <v>200</v>
      </c>
      <c r="S275" t="s">
        <v>484</v>
      </c>
    </row>
    <row r="276" spans="1:19" x14ac:dyDescent="0.2">
      <c r="A276" t="s">
        <v>387</v>
      </c>
      <c r="B276" t="s">
        <v>450</v>
      </c>
      <c r="C276" s="1">
        <v>44712</v>
      </c>
      <c r="D276" s="2">
        <v>0.5625</v>
      </c>
      <c r="E276" s="1">
        <v>44712</v>
      </c>
      <c r="F276" s="2">
        <v>0.65972222222222221</v>
      </c>
      <c r="G276">
        <v>53.887785999999998</v>
      </c>
      <c r="H276">
        <v>123.48941600000001</v>
      </c>
      <c r="I276" t="s">
        <v>23</v>
      </c>
      <c r="J276" t="s">
        <v>24</v>
      </c>
      <c r="K276" t="s">
        <v>451</v>
      </c>
      <c r="L276" t="s">
        <v>24</v>
      </c>
      <c r="M276">
        <v>0</v>
      </c>
      <c r="Q276" t="s">
        <v>358</v>
      </c>
      <c r="R276" t="s">
        <v>24</v>
      </c>
      <c r="S276" t="s">
        <v>452</v>
      </c>
    </row>
    <row r="277" spans="1:19" x14ac:dyDescent="0.2">
      <c r="A277" t="s">
        <v>453</v>
      </c>
      <c r="B277" t="s">
        <v>525</v>
      </c>
      <c r="C277" s="1">
        <v>44713</v>
      </c>
      <c r="D277" s="2">
        <v>0.59236111111111112</v>
      </c>
      <c r="E277" s="1">
        <v>44714</v>
      </c>
      <c r="F277" s="2">
        <v>0.48472222222222222</v>
      </c>
      <c r="G277">
        <v>54.770145999999997</v>
      </c>
      <c r="H277">
        <v>123.27415000000001</v>
      </c>
      <c r="I277" t="s">
        <v>23</v>
      </c>
      <c r="J277">
        <v>3.7</v>
      </c>
      <c r="L277" t="s">
        <v>24</v>
      </c>
      <c r="M277">
        <v>0</v>
      </c>
      <c r="Q277" t="s">
        <v>455</v>
      </c>
      <c r="R277">
        <v>100</v>
      </c>
    </row>
    <row r="278" spans="1:19" x14ac:dyDescent="0.2">
      <c r="A278" t="s">
        <v>453</v>
      </c>
      <c r="B278" t="s">
        <v>518</v>
      </c>
      <c r="C278" s="1">
        <v>44713</v>
      </c>
      <c r="D278" s="2">
        <v>0.56041666666666667</v>
      </c>
      <c r="E278" s="1">
        <v>44714</v>
      </c>
      <c r="F278" s="2">
        <v>0.4458333333333333</v>
      </c>
      <c r="G278">
        <v>54.755158000000002</v>
      </c>
      <c r="H278">
        <v>123.27776299999999</v>
      </c>
      <c r="I278" t="s">
        <v>23</v>
      </c>
      <c r="J278">
        <v>4.0999999999999996</v>
      </c>
      <c r="L278" t="s">
        <v>439</v>
      </c>
      <c r="M278">
        <v>1</v>
      </c>
      <c r="Q278" t="s">
        <v>455</v>
      </c>
      <c r="R278">
        <v>200</v>
      </c>
    </row>
    <row r="279" spans="1:19" x14ac:dyDescent="0.2">
      <c r="A279" t="s">
        <v>453</v>
      </c>
      <c r="B279" t="s">
        <v>521</v>
      </c>
      <c r="C279" s="1">
        <v>44713</v>
      </c>
      <c r="D279" s="2">
        <v>0.57361111111111118</v>
      </c>
      <c r="E279" s="1">
        <v>44714</v>
      </c>
      <c r="F279" s="2">
        <v>0.45624999999999999</v>
      </c>
      <c r="G279">
        <v>54.769450999999997</v>
      </c>
      <c r="H279">
        <v>123.264923</v>
      </c>
      <c r="I279" t="s">
        <v>23</v>
      </c>
      <c r="J279">
        <v>6.8</v>
      </c>
      <c r="L279" t="s">
        <v>24</v>
      </c>
      <c r="M279">
        <v>0</v>
      </c>
      <c r="Q279" t="s">
        <v>455</v>
      </c>
      <c r="R279">
        <v>150</v>
      </c>
    </row>
    <row r="280" spans="1:19" x14ac:dyDescent="0.2">
      <c r="A280" t="s">
        <v>453</v>
      </c>
      <c r="B280" t="s">
        <v>526</v>
      </c>
      <c r="C280" s="1">
        <v>44713</v>
      </c>
      <c r="D280" s="2">
        <v>0.59513888888888888</v>
      </c>
      <c r="E280" s="1">
        <v>44714</v>
      </c>
      <c r="F280" s="2">
        <v>0.48819444444444443</v>
      </c>
      <c r="G280">
        <v>54.762383</v>
      </c>
      <c r="H280">
        <v>123.28986399999999</v>
      </c>
      <c r="I280" t="s">
        <v>23</v>
      </c>
      <c r="J280">
        <v>8.3000000000000007</v>
      </c>
      <c r="L280" t="s">
        <v>24</v>
      </c>
      <c r="M280">
        <v>0</v>
      </c>
      <c r="Q280" t="s">
        <v>455</v>
      </c>
      <c r="R280">
        <v>100</v>
      </c>
    </row>
    <row r="281" spans="1:19" x14ac:dyDescent="0.2">
      <c r="A281" t="s">
        <v>453</v>
      </c>
      <c r="B281" t="s">
        <v>512</v>
      </c>
      <c r="C281" s="1">
        <v>44713</v>
      </c>
      <c r="D281" s="2">
        <v>0.52569444444444446</v>
      </c>
      <c r="E281" s="1">
        <v>44714</v>
      </c>
      <c r="F281" s="2">
        <v>0.42638888888888887</v>
      </c>
      <c r="G281">
        <v>54.729194999999997</v>
      </c>
      <c r="H281">
        <v>123.30151499999999</v>
      </c>
      <c r="I281" t="s">
        <v>23</v>
      </c>
      <c r="J281">
        <v>4.0999999999999996</v>
      </c>
      <c r="L281" t="s">
        <v>24</v>
      </c>
      <c r="M281">
        <v>0</v>
      </c>
      <c r="Q281" t="s">
        <v>455</v>
      </c>
      <c r="R281">
        <v>100</v>
      </c>
    </row>
    <row r="282" spans="1:19" x14ac:dyDescent="0.2">
      <c r="A282" t="s">
        <v>453</v>
      </c>
      <c r="B282" t="s">
        <v>492</v>
      </c>
      <c r="C282" s="1">
        <v>44713</v>
      </c>
      <c r="D282" s="2">
        <v>0.61249999999999993</v>
      </c>
      <c r="E282" s="1">
        <v>44714</v>
      </c>
      <c r="F282" s="2">
        <v>0.50763888888888886</v>
      </c>
      <c r="G282">
        <v>54.740059000000002</v>
      </c>
      <c r="H282">
        <v>123.35086</v>
      </c>
      <c r="I282" t="s">
        <v>23</v>
      </c>
      <c r="J282">
        <v>9.4</v>
      </c>
      <c r="L282" t="s">
        <v>24</v>
      </c>
      <c r="M282">
        <v>0</v>
      </c>
      <c r="Q282" t="s">
        <v>455</v>
      </c>
      <c r="R282">
        <v>120</v>
      </c>
    </row>
    <row r="283" spans="1:19" x14ac:dyDescent="0.2">
      <c r="A283" t="s">
        <v>453</v>
      </c>
      <c r="B283" t="s">
        <v>517</v>
      </c>
      <c r="C283" s="1">
        <v>44713</v>
      </c>
      <c r="D283" s="2">
        <v>0.55625000000000002</v>
      </c>
      <c r="E283" s="1">
        <v>44714</v>
      </c>
      <c r="F283" s="2">
        <v>0.44375000000000003</v>
      </c>
      <c r="G283">
        <v>54.751393999999998</v>
      </c>
      <c r="H283">
        <v>123.27841100000001</v>
      </c>
      <c r="I283" t="s">
        <v>23</v>
      </c>
      <c r="J283">
        <v>6.1</v>
      </c>
      <c r="L283" t="s">
        <v>24</v>
      </c>
      <c r="M283">
        <v>0</v>
      </c>
      <c r="Q283" t="s">
        <v>455</v>
      </c>
      <c r="R283">
        <v>200</v>
      </c>
    </row>
    <row r="284" spans="1:19" x14ac:dyDescent="0.2">
      <c r="A284" t="s">
        <v>453</v>
      </c>
      <c r="B284" t="s">
        <v>516</v>
      </c>
      <c r="C284" s="1">
        <v>44713</v>
      </c>
      <c r="D284" s="2">
        <v>0.55138888888888882</v>
      </c>
      <c r="E284" s="1">
        <v>44714</v>
      </c>
      <c r="F284" s="2">
        <v>0.44166666666666665</v>
      </c>
      <c r="G284">
        <v>54.747624000000002</v>
      </c>
      <c r="H284">
        <v>123.273477</v>
      </c>
      <c r="I284" t="s">
        <v>23</v>
      </c>
      <c r="J284">
        <v>5.5</v>
      </c>
      <c r="L284" t="s">
        <v>24</v>
      </c>
      <c r="M284">
        <v>0</v>
      </c>
      <c r="Q284" t="s">
        <v>455</v>
      </c>
      <c r="R284">
        <v>150</v>
      </c>
    </row>
    <row r="285" spans="1:19" x14ac:dyDescent="0.2">
      <c r="A285" t="s">
        <v>453</v>
      </c>
      <c r="B285" t="s">
        <v>529</v>
      </c>
      <c r="C285" s="1">
        <v>44713</v>
      </c>
      <c r="D285" s="2">
        <v>0.60763888888888895</v>
      </c>
      <c r="E285" s="1">
        <v>44714</v>
      </c>
      <c r="F285" s="2">
        <v>0.50486111111111109</v>
      </c>
      <c r="G285">
        <v>54.760966000000003</v>
      </c>
      <c r="H285">
        <v>123.317351</v>
      </c>
      <c r="I285" t="s">
        <v>23</v>
      </c>
      <c r="J285">
        <v>7.7</v>
      </c>
      <c r="L285" t="s">
        <v>24</v>
      </c>
      <c r="M285">
        <v>0</v>
      </c>
      <c r="Q285" t="s">
        <v>455</v>
      </c>
      <c r="R285">
        <v>100</v>
      </c>
    </row>
    <row r="286" spans="1:19" x14ac:dyDescent="0.2">
      <c r="A286" t="s">
        <v>453</v>
      </c>
      <c r="B286" t="s">
        <v>519</v>
      </c>
      <c r="C286" s="1">
        <v>44713</v>
      </c>
      <c r="D286" s="2">
        <v>0.56319444444444444</v>
      </c>
      <c r="E286" s="1">
        <v>44714</v>
      </c>
      <c r="F286" s="2">
        <v>0.44930555555555557</v>
      </c>
      <c r="G286">
        <v>54.761315000000003</v>
      </c>
      <c r="H286">
        <v>123.26214400000001</v>
      </c>
      <c r="I286" t="s">
        <v>23</v>
      </c>
      <c r="J286">
        <v>9.1999999999999993</v>
      </c>
      <c r="L286" t="s">
        <v>24</v>
      </c>
      <c r="M286">
        <v>0</v>
      </c>
      <c r="Q286" t="s">
        <v>455</v>
      </c>
      <c r="R286">
        <v>150</v>
      </c>
    </row>
    <row r="287" spans="1:19" x14ac:dyDescent="0.2">
      <c r="A287" t="s">
        <v>453</v>
      </c>
      <c r="B287" t="s">
        <v>513</v>
      </c>
      <c r="C287" s="1">
        <v>44713</v>
      </c>
      <c r="D287" s="2">
        <v>0.53055555555555556</v>
      </c>
      <c r="E287" s="1">
        <v>44714</v>
      </c>
      <c r="F287" s="2">
        <v>0.4284722222222222</v>
      </c>
      <c r="G287">
        <v>54.730722</v>
      </c>
      <c r="H287">
        <v>123.294124</v>
      </c>
      <c r="I287" t="s">
        <v>23</v>
      </c>
      <c r="J287">
        <v>4.2</v>
      </c>
      <c r="L287" t="s">
        <v>24</v>
      </c>
      <c r="M287">
        <v>0</v>
      </c>
      <c r="Q287" t="s">
        <v>455</v>
      </c>
      <c r="R287">
        <v>125</v>
      </c>
    </row>
    <row r="288" spans="1:19" x14ac:dyDescent="0.2">
      <c r="A288" t="s">
        <v>453</v>
      </c>
      <c r="B288" t="s">
        <v>530</v>
      </c>
      <c r="C288" s="1">
        <v>44713</v>
      </c>
      <c r="D288" s="2">
        <v>0.61597222222222225</v>
      </c>
      <c r="E288" s="1">
        <v>44714</v>
      </c>
      <c r="F288" s="2">
        <v>0.51111111111111118</v>
      </c>
      <c r="G288">
        <v>54.768394999999998</v>
      </c>
      <c r="H288">
        <v>123.33217500000001</v>
      </c>
      <c r="I288" t="s">
        <v>23</v>
      </c>
      <c r="J288">
        <v>4</v>
      </c>
      <c r="L288" t="s">
        <v>531</v>
      </c>
      <c r="M288">
        <v>1</v>
      </c>
      <c r="Q288" t="s">
        <v>455</v>
      </c>
      <c r="R288">
        <v>100</v>
      </c>
      <c r="S288" t="s">
        <v>532</v>
      </c>
    </row>
    <row r="289" spans="1:18" x14ac:dyDescent="0.2">
      <c r="A289" t="s">
        <v>453</v>
      </c>
      <c r="B289" t="s">
        <v>515</v>
      </c>
      <c r="C289" s="1">
        <v>44713</v>
      </c>
      <c r="D289" s="2">
        <v>0.54583333333333328</v>
      </c>
      <c r="E289" s="1">
        <v>44714</v>
      </c>
      <c r="F289" s="2">
        <v>0.4375</v>
      </c>
      <c r="G289">
        <v>54.739238</v>
      </c>
      <c r="H289">
        <v>123.283192</v>
      </c>
      <c r="I289" t="s">
        <v>23</v>
      </c>
      <c r="J289">
        <v>4.9000000000000004</v>
      </c>
      <c r="L289" t="s">
        <v>24</v>
      </c>
      <c r="M289">
        <v>0</v>
      </c>
      <c r="Q289" t="s">
        <v>455</v>
      </c>
      <c r="R289">
        <v>100</v>
      </c>
    </row>
    <row r="290" spans="1:18" x14ac:dyDescent="0.2">
      <c r="A290" t="s">
        <v>453</v>
      </c>
      <c r="B290" t="s">
        <v>546</v>
      </c>
      <c r="C290" s="1">
        <v>44714</v>
      </c>
      <c r="D290" s="2">
        <v>0.60347222222222219</v>
      </c>
      <c r="E290" s="1">
        <v>44715</v>
      </c>
      <c r="F290" s="2">
        <v>0.40902777777777777</v>
      </c>
      <c r="G290">
        <v>54.79325</v>
      </c>
      <c r="H290">
        <v>123.342958</v>
      </c>
      <c r="I290" t="s">
        <v>23</v>
      </c>
      <c r="J290">
        <v>7.2</v>
      </c>
      <c r="L290" t="s">
        <v>24</v>
      </c>
      <c r="M290">
        <v>0</v>
      </c>
      <c r="Q290" t="s">
        <v>455</v>
      </c>
      <c r="R290">
        <v>160</v>
      </c>
    </row>
    <row r="291" spans="1:18" x14ac:dyDescent="0.2">
      <c r="A291" t="s">
        <v>453</v>
      </c>
      <c r="B291" t="s">
        <v>552</v>
      </c>
      <c r="C291" s="1">
        <v>44714</v>
      </c>
      <c r="D291" s="2">
        <v>0.58680555555555558</v>
      </c>
      <c r="E291" s="1">
        <v>44715</v>
      </c>
      <c r="F291" s="2">
        <v>0.39097222222222222</v>
      </c>
      <c r="G291">
        <v>54.783634999999997</v>
      </c>
      <c r="H291">
        <v>123.31161</v>
      </c>
      <c r="I291" t="s">
        <v>23</v>
      </c>
      <c r="J291">
        <v>9.9</v>
      </c>
      <c r="L291" t="s">
        <v>24</v>
      </c>
      <c r="M291">
        <v>0</v>
      </c>
      <c r="Q291" t="s">
        <v>455</v>
      </c>
      <c r="R291">
        <v>150</v>
      </c>
    </row>
    <row r="292" spans="1:18" x14ac:dyDescent="0.2">
      <c r="A292" t="s">
        <v>453</v>
      </c>
      <c r="B292" t="s">
        <v>541</v>
      </c>
      <c r="C292" s="1">
        <v>44714</v>
      </c>
      <c r="D292" s="2">
        <v>0.62291666666666667</v>
      </c>
      <c r="E292" s="1">
        <v>44715</v>
      </c>
      <c r="F292" s="2">
        <v>0.42291666666666666</v>
      </c>
      <c r="G292">
        <v>54.797311999999998</v>
      </c>
      <c r="H292">
        <v>123.339547</v>
      </c>
      <c r="I292" t="s">
        <v>23</v>
      </c>
      <c r="J292">
        <v>7.8</v>
      </c>
      <c r="L292" t="s">
        <v>24</v>
      </c>
      <c r="M292">
        <v>0</v>
      </c>
      <c r="Q292" t="s">
        <v>455</v>
      </c>
      <c r="R292">
        <v>200</v>
      </c>
    </row>
    <row r="293" spans="1:18" x14ac:dyDescent="0.2">
      <c r="A293" t="s">
        <v>453</v>
      </c>
      <c r="B293" t="s">
        <v>533</v>
      </c>
      <c r="C293" s="1">
        <v>44714</v>
      </c>
      <c r="D293" s="2">
        <v>0.65277777777777779</v>
      </c>
      <c r="E293" s="1">
        <v>44715</v>
      </c>
      <c r="F293" s="2">
        <v>0.4597222222222222</v>
      </c>
      <c r="G293">
        <v>54.818567999999999</v>
      </c>
      <c r="H293">
        <v>123.34344900000001</v>
      </c>
      <c r="I293" t="s">
        <v>23</v>
      </c>
      <c r="J293">
        <v>3</v>
      </c>
      <c r="L293" t="s">
        <v>117</v>
      </c>
      <c r="M293">
        <v>1</v>
      </c>
      <c r="Q293" t="s">
        <v>455</v>
      </c>
      <c r="R293">
        <v>150</v>
      </c>
    </row>
    <row r="294" spans="1:18" x14ac:dyDescent="0.2">
      <c r="A294" t="s">
        <v>453</v>
      </c>
      <c r="B294" t="s">
        <v>542</v>
      </c>
      <c r="C294" s="1">
        <v>44714</v>
      </c>
      <c r="D294" s="2">
        <v>0.61875000000000002</v>
      </c>
      <c r="E294" s="1">
        <v>44715</v>
      </c>
      <c r="F294" s="2">
        <v>0.4201388888888889</v>
      </c>
      <c r="G294">
        <v>54.795101000000003</v>
      </c>
      <c r="H294">
        <v>123.340924</v>
      </c>
      <c r="I294" t="s">
        <v>23</v>
      </c>
      <c r="J294">
        <v>10.199999999999999</v>
      </c>
      <c r="L294" t="s">
        <v>24</v>
      </c>
      <c r="M294">
        <v>0</v>
      </c>
      <c r="Q294" t="s">
        <v>455</v>
      </c>
      <c r="R294">
        <v>100</v>
      </c>
    </row>
    <row r="295" spans="1:18" x14ac:dyDescent="0.2">
      <c r="A295" t="s">
        <v>453</v>
      </c>
      <c r="B295" t="s">
        <v>535</v>
      </c>
      <c r="C295" s="1">
        <v>44714</v>
      </c>
      <c r="D295" s="2">
        <v>0.64444444444444449</v>
      </c>
      <c r="E295" s="1">
        <v>44715</v>
      </c>
      <c r="F295" s="2">
        <v>0.45208333333333334</v>
      </c>
      <c r="G295">
        <v>54.810761999999997</v>
      </c>
      <c r="H295">
        <v>123.347128</v>
      </c>
      <c r="I295" t="s">
        <v>23</v>
      </c>
      <c r="J295">
        <v>10.3</v>
      </c>
      <c r="L295" t="s">
        <v>24</v>
      </c>
      <c r="M295">
        <v>0</v>
      </c>
      <c r="Q295" t="s">
        <v>455</v>
      </c>
      <c r="R295">
        <v>150</v>
      </c>
    </row>
    <row r="296" spans="1:18" x14ac:dyDescent="0.2">
      <c r="A296" t="s">
        <v>453</v>
      </c>
      <c r="B296" t="s">
        <v>534</v>
      </c>
      <c r="C296" s="1">
        <v>44714</v>
      </c>
      <c r="D296" s="2">
        <v>0.64930555555555558</v>
      </c>
      <c r="E296" s="1">
        <v>44715</v>
      </c>
      <c r="F296" s="2">
        <v>0.45694444444444443</v>
      </c>
      <c r="G296">
        <v>54.818671999999999</v>
      </c>
      <c r="H296">
        <v>123.345327</v>
      </c>
      <c r="I296" t="s">
        <v>23</v>
      </c>
      <c r="J296">
        <v>9.8000000000000007</v>
      </c>
      <c r="L296" t="s">
        <v>24</v>
      </c>
      <c r="M296">
        <v>0</v>
      </c>
      <c r="Q296" t="s">
        <v>455</v>
      </c>
      <c r="R296">
        <v>100</v>
      </c>
    </row>
    <row r="297" spans="1:18" x14ac:dyDescent="0.2">
      <c r="A297" t="s">
        <v>453</v>
      </c>
      <c r="B297" t="s">
        <v>544</v>
      </c>
      <c r="C297" s="1">
        <v>44714</v>
      </c>
      <c r="D297" s="2">
        <v>0.6118055555555556</v>
      </c>
      <c r="E297" s="1">
        <v>44715</v>
      </c>
      <c r="F297" s="2">
        <v>0.4152777777777778</v>
      </c>
      <c r="G297">
        <v>54.796429000000003</v>
      </c>
      <c r="H297">
        <v>123.329516</v>
      </c>
      <c r="I297" t="s">
        <v>23</v>
      </c>
      <c r="J297">
        <v>7.1</v>
      </c>
      <c r="L297" t="s">
        <v>24</v>
      </c>
      <c r="M297">
        <v>0</v>
      </c>
      <c r="Q297" t="s">
        <v>455</v>
      </c>
      <c r="R297">
        <v>150</v>
      </c>
    </row>
    <row r="298" spans="1:18" x14ac:dyDescent="0.2">
      <c r="A298" t="s">
        <v>453</v>
      </c>
      <c r="B298" t="s">
        <v>538</v>
      </c>
      <c r="C298" s="1">
        <v>44714</v>
      </c>
      <c r="D298" s="2">
        <v>0.63263888888888886</v>
      </c>
      <c r="E298" s="1">
        <v>44715</v>
      </c>
      <c r="F298" s="2">
        <v>0.43541666666666662</v>
      </c>
      <c r="G298">
        <v>54.809004999999999</v>
      </c>
      <c r="H298">
        <v>123.32580400000001</v>
      </c>
      <c r="I298" t="s">
        <v>23</v>
      </c>
      <c r="J298">
        <v>5.4</v>
      </c>
      <c r="L298" t="s">
        <v>439</v>
      </c>
      <c r="M298">
        <v>1</v>
      </c>
      <c r="Q298" t="s">
        <v>455</v>
      </c>
      <c r="R298">
        <v>200</v>
      </c>
    </row>
    <row r="299" spans="1:18" x14ac:dyDescent="0.2">
      <c r="A299" t="s">
        <v>453</v>
      </c>
      <c r="B299" t="s">
        <v>545</v>
      </c>
      <c r="C299" s="1">
        <v>44714</v>
      </c>
      <c r="D299" s="2">
        <v>0.60902777777777783</v>
      </c>
      <c r="E299" s="1">
        <v>44715</v>
      </c>
      <c r="F299" s="2">
        <v>0.41250000000000003</v>
      </c>
      <c r="G299">
        <v>54.794576999999997</v>
      </c>
      <c r="H299">
        <v>123.332393</v>
      </c>
      <c r="I299" t="s">
        <v>23</v>
      </c>
      <c r="J299">
        <v>10.199999999999999</v>
      </c>
      <c r="L299" t="s">
        <v>117</v>
      </c>
      <c r="M299">
        <v>1</v>
      </c>
      <c r="Q299" t="s">
        <v>455</v>
      </c>
      <c r="R299">
        <v>150</v>
      </c>
    </row>
    <row r="300" spans="1:18" x14ac:dyDescent="0.2">
      <c r="A300" t="s">
        <v>453</v>
      </c>
      <c r="B300" t="s">
        <v>553</v>
      </c>
      <c r="C300" s="1">
        <v>44714</v>
      </c>
      <c r="D300" s="2">
        <v>0.57986111111111105</v>
      </c>
      <c r="E300" s="1">
        <v>44715</v>
      </c>
      <c r="F300" s="2">
        <v>0.38750000000000001</v>
      </c>
      <c r="G300">
        <v>54.781815000000002</v>
      </c>
      <c r="H300">
        <v>123.32909100000001</v>
      </c>
      <c r="I300" t="s">
        <v>23</v>
      </c>
      <c r="J300">
        <v>10</v>
      </c>
      <c r="L300" t="s">
        <v>24</v>
      </c>
      <c r="M300">
        <v>0</v>
      </c>
      <c r="Q300" t="s">
        <v>455</v>
      </c>
      <c r="R300">
        <v>150</v>
      </c>
    </row>
    <row r="301" spans="1:18" x14ac:dyDescent="0.2">
      <c r="A301" t="s">
        <v>453</v>
      </c>
      <c r="B301" t="s">
        <v>540</v>
      </c>
      <c r="C301" s="1">
        <v>44714</v>
      </c>
      <c r="D301" s="2">
        <v>0.62569444444444444</v>
      </c>
      <c r="E301" s="1">
        <v>44715</v>
      </c>
      <c r="F301" s="2">
        <v>0.42499999999999999</v>
      </c>
      <c r="G301">
        <v>54.801096000000001</v>
      </c>
      <c r="H301">
        <v>123.33149400000001</v>
      </c>
      <c r="I301" t="s">
        <v>23</v>
      </c>
      <c r="J301">
        <v>9.1</v>
      </c>
      <c r="L301" t="s">
        <v>24</v>
      </c>
      <c r="M301">
        <v>0</v>
      </c>
      <c r="Q301" t="s">
        <v>455</v>
      </c>
      <c r="R301">
        <v>150</v>
      </c>
    </row>
    <row r="302" spans="1:18" x14ac:dyDescent="0.2">
      <c r="A302" t="s">
        <v>453</v>
      </c>
      <c r="B302" t="s">
        <v>543</v>
      </c>
      <c r="C302" s="1">
        <v>44714</v>
      </c>
      <c r="D302" s="2">
        <v>0.61458333333333337</v>
      </c>
      <c r="E302" s="1">
        <v>44715</v>
      </c>
      <c r="F302" s="2">
        <v>0.41666666666666669</v>
      </c>
      <c r="G302">
        <v>54.797504000000004</v>
      </c>
      <c r="H302">
        <v>123.329424</v>
      </c>
      <c r="I302" t="s">
        <v>23</v>
      </c>
      <c r="J302">
        <v>3.3</v>
      </c>
      <c r="L302" t="s">
        <v>24</v>
      </c>
      <c r="M302">
        <v>0</v>
      </c>
      <c r="Q302" t="s">
        <v>455</v>
      </c>
      <c r="R302">
        <v>140</v>
      </c>
    </row>
    <row r="303" spans="1:18" x14ac:dyDescent="0.2">
      <c r="A303" t="s">
        <v>453</v>
      </c>
      <c r="B303" t="s">
        <v>554</v>
      </c>
      <c r="C303" s="1">
        <v>44714</v>
      </c>
      <c r="D303" s="2">
        <v>0.57222222222222219</v>
      </c>
      <c r="E303" s="1">
        <v>44715</v>
      </c>
      <c r="F303" s="2">
        <v>0.38194444444444442</v>
      </c>
      <c r="G303">
        <v>54.775637000000003</v>
      </c>
      <c r="H303">
        <v>123.35083299999999</v>
      </c>
      <c r="I303" t="s">
        <v>23</v>
      </c>
      <c r="J303">
        <v>5.6</v>
      </c>
      <c r="L303" t="s">
        <v>24</v>
      </c>
      <c r="M303">
        <v>0</v>
      </c>
      <c r="Q303" t="s">
        <v>455</v>
      </c>
      <c r="R303">
        <v>150</v>
      </c>
    </row>
    <row r="304" spans="1:18" x14ac:dyDescent="0.2">
      <c r="A304" t="s">
        <v>453</v>
      </c>
      <c r="B304" t="s">
        <v>551</v>
      </c>
      <c r="C304" s="1">
        <v>44714</v>
      </c>
      <c r="D304" s="2">
        <v>0.58958333333333335</v>
      </c>
      <c r="E304" s="1">
        <v>44715</v>
      </c>
      <c r="F304" s="2">
        <v>0.39305555555555555</v>
      </c>
      <c r="G304">
        <v>54.782913000000001</v>
      </c>
      <c r="H304">
        <v>123.318888</v>
      </c>
      <c r="I304" t="s">
        <v>23</v>
      </c>
      <c r="J304">
        <v>4.9000000000000004</v>
      </c>
      <c r="L304" t="s">
        <v>24</v>
      </c>
      <c r="M304">
        <v>0</v>
      </c>
      <c r="Q304" t="s">
        <v>455</v>
      </c>
      <c r="R304">
        <v>150</v>
      </c>
    </row>
    <row r="305" spans="1:18" x14ac:dyDescent="0.2">
      <c r="A305" t="s">
        <v>19</v>
      </c>
      <c r="B305" t="s">
        <v>337</v>
      </c>
      <c r="C305" s="1">
        <v>44718</v>
      </c>
      <c r="D305" s="2">
        <v>0.7715277777777777</v>
      </c>
      <c r="E305" s="1">
        <v>44719</v>
      </c>
      <c r="F305" s="2">
        <v>0.47916666666666669</v>
      </c>
      <c r="G305">
        <v>54.103619999999999</v>
      </c>
      <c r="H305">
        <v>124.707778</v>
      </c>
      <c r="I305" t="s">
        <v>23</v>
      </c>
      <c r="J305">
        <v>6.1</v>
      </c>
      <c r="L305" t="s">
        <v>24</v>
      </c>
      <c r="M305">
        <v>0</v>
      </c>
      <c r="Q305" t="s">
        <v>25</v>
      </c>
      <c r="R305">
        <v>130</v>
      </c>
    </row>
    <row r="306" spans="1:18" x14ac:dyDescent="0.2">
      <c r="A306" t="s">
        <v>19</v>
      </c>
      <c r="B306" t="s">
        <v>338</v>
      </c>
      <c r="C306" s="1">
        <v>44718</v>
      </c>
      <c r="D306" s="2">
        <v>0.70833333333333337</v>
      </c>
      <c r="E306" s="1">
        <v>44719</v>
      </c>
      <c r="F306" s="2">
        <v>0.37361111111111112</v>
      </c>
      <c r="G306">
        <v>54.073739000000003</v>
      </c>
      <c r="H306">
        <v>124.738711</v>
      </c>
      <c r="I306" t="s">
        <v>23</v>
      </c>
      <c r="J306">
        <v>5.9</v>
      </c>
      <c r="L306" t="s">
        <v>24</v>
      </c>
      <c r="M306">
        <v>0</v>
      </c>
      <c r="Q306" t="s">
        <v>25</v>
      </c>
      <c r="R306">
        <v>100</v>
      </c>
    </row>
    <row r="307" spans="1:18" x14ac:dyDescent="0.2">
      <c r="A307" t="s">
        <v>19</v>
      </c>
      <c r="B307" t="s">
        <v>339</v>
      </c>
      <c r="C307" s="1">
        <v>44718</v>
      </c>
      <c r="D307" s="2">
        <v>0.74930555555555556</v>
      </c>
      <c r="E307" s="1">
        <v>44719</v>
      </c>
      <c r="F307" s="2">
        <v>0.46180555555555558</v>
      </c>
      <c r="G307">
        <v>54.092219</v>
      </c>
      <c r="H307">
        <v>124.727473</v>
      </c>
      <c r="I307" t="s">
        <v>23</v>
      </c>
      <c r="J307">
        <v>3.6</v>
      </c>
      <c r="L307" t="s">
        <v>24</v>
      </c>
      <c r="M307">
        <v>0</v>
      </c>
      <c r="Q307" t="s">
        <v>25</v>
      </c>
      <c r="R307">
        <v>100</v>
      </c>
    </row>
    <row r="308" spans="1:18" x14ac:dyDescent="0.2">
      <c r="A308" t="s">
        <v>19</v>
      </c>
      <c r="B308" t="s">
        <v>340</v>
      </c>
      <c r="C308" s="1">
        <v>44718</v>
      </c>
      <c r="D308" s="2">
        <v>0.78055555555555556</v>
      </c>
      <c r="E308" s="1">
        <v>44719</v>
      </c>
      <c r="F308" s="2">
        <v>0.5</v>
      </c>
      <c r="G308">
        <v>54.102065000000003</v>
      </c>
      <c r="H308">
        <v>124.717246</v>
      </c>
      <c r="I308" t="s">
        <v>23</v>
      </c>
      <c r="J308">
        <v>6.3</v>
      </c>
      <c r="L308" t="s">
        <v>24</v>
      </c>
      <c r="M308">
        <v>0</v>
      </c>
      <c r="Q308" t="s">
        <v>25</v>
      </c>
      <c r="R308">
        <v>190</v>
      </c>
    </row>
    <row r="309" spans="1:18" x14ac:dyDescent="0.2">
      <c r="A309" t="s">
        <v>19</v>
      </c>
      <c r="B309" t="s">
        <v>341</v>
      </c>
      <c r="C309" s="1">
        <v>44718</v>
      </c>
      <c r="D309" s="2">
        <v>0.69791666666666663</v>
      </c>
      <c r="E309" s="1">
        <v>44719</v>
      </c>
      <c r="F309" s="2">
        <v>0.36458333333333331</v>
      </c>
      <c r="G309" s="3" t="s">
        <v>342</v>
      </c>
      <c r="H309" s="3" t="s">
        <v>343</v>
      </c>
      <c r="I309" t="s">
        <v>23</v>
      </c>
      <c r="J309">
        <v>4.0999999999999996</v>
      </c>
      <c r="L309" t="s">
        <v>24</v>
      </c>
      <c r="M309">
        <v>0</v>
      </c>
      <c r="O309" s="10"/>
      <c r="P309" s="10"/>
      <c r="Q309" t="s">
        <v>25</v>
      </c>
      <c r="R309">
        <v>100</v>
      </c>
    </row>
    <row r="310" spans="1:18" x14ac:dyDescent="0.2">
      <c r="A310" t="s">
        <v>19</v>
      </c>
      <c r="B310" t="s">
        <v>344</v>
      </c>
      <c r="C310" s="1">
        <v>44718</v>
      </c>
      <c r="D310" s="2">
        <v>0.78541666666666676</v>
      </c>
      <c r="E310" s="1">
        <v>44719</v>
      </c>
      <c r="F310" s="2">
        <v>0.50347222222222221</v>
      </c>
      <c r="G310">
        <v>54.100504999999998</v>
      </c>
      <c r="H310">
        <v>124.72590700000001</v>
      </c>
      <c r="I310" t="s">
        <v>23</v>
      </c>
      <c r="J310">
        <v>8.3000000000000007</v>
      </c>
      <c r="L310" t="s">
        <v>24</v>
      </c>
      <c r="M310">
        <v>0</v>
      </c>
      <c r="Q310" t="s">
        <v>25</v>
      </c>
      <c r="R310">
        <v>140</v>
      </c>
    </row>
    <row r="311" spans="1:18" x14ac:dyDescent="0.2">
      <c r="A311" t="s">
        <v>19</v>
      </c>
      <c r="B311" t="s">
        <v>346</v>
      </c>
      <c r="C311" s="1">
        <v>44718</v>
      </c>
      <c r="D311" s="2">
        <v>0.71875</v>
      </c>
      <c r="E311" s="1">
        <v>44719</v>
      </c>
      <c r="F311" s="2">
        <v>0.37777777777777777</v>
      </c>
      <c r="G311">
        <v>54.073025000000001</v>
      </c>
      <c r="H311">
        <v>124.731555</v>
      </c>
      <c r="I311" t="s">
        <v>23</v>
      </c>
      <c r="J311">
        <v>7.2</v>
      </c>
      <c r="L311" t="s">
        <v>24</v>
      </c>
      <c r="M311">
        <v>0</v>
      </c>
      <c r="Q311" t="s">
        <v>25</v>
      </c>
      <c r="R311">
        <v>140</v>
      </c>
    </row>
    <row r="312" spans="1:18" x14ac:dyDescent="0.2">
      <c r="A312" t="s">
        <v>19</v>
      </c>
      <c r="B312" t="s">
        <v>348</v>
      </c>
      <c r="C312" s="1">
        <v>44718</v>
      </c>
      <c r="D312" s="2">
        <v>0.7319444444444444</v>
      </c>
      <c r="E312" s="1">
        <v>44719</v>
      </c>
      <c r="F312" s="2">
        <v>0.41111111111111115</v>
      </c>
      <c r="G312">
        <v>54.074181000000003</v>
      </c>
      <c r="H312">
        <v>124.702268</v>
      </c>
      <c r="I312" t="s">
        <v>23</v>
      </c>
      <c r="J312">
        <v>3.3</v>
      </c>
      <c r="L312" t="s">
        <v>24</v>
      </c>
      <c r="M312">
        <v>0</v>
      </c>
      <c r="Q312" t="s">
        <v>25</v>
      </c>
      <c r="R312">
        <v>150</v>
      </c>
    </row>
    <row r="313" spans="1:18" x14ac:dyDescent="0.2">
      <c r="A313" t="s">
        <v>19</v>
      </c>
      <c r="B313" t="s">
        <v>350</v>
      </c>
      <c r="C313" s="1">
        <v>44718</v>
      </c>
      <c r="D313" s="2">
        <v>0.76736111111111116</v>
      </c>
      <c r="E313" s="1">
        <v>44719</v>
      </c>
      <c r="F313" s="2">
        <v>0.47152777777777777</v>
      </c>
      <c r="G313">
        <v>54.105603000000002</v>
      </c>
      <c r="H313">
        <v>124.679705</v>
      </c>
      <c r="I313" t="s">
        <v>23</v>
      </c>
      <c r="J313">
        <v>9.6999999999999993</v>
      </c>
      <c r="L313" t="s">
        <v>24</v>
      </c>
      <c r="M313">
        <v>0</v>
      </c>
      <c r="Q313" t="s">
        <v>25</v>
      </c>
      <c r="R313">
        <v>100</v>
      </c>
    </row>
    <row r="314" spans="1:18" x14ac:dyDescent="0.2">
      <c r="A314" t="s">
        <v>19</v>
      </c>
      <c r="B314" t="s">
        <v>351</v>
      </c>
      <c r="C314" s="1">
        <v>44718</v>
      </c>
      <c r="D314" s="2">
        <v>0.70347222222222217</v>
      </c>
      <c r="E314" s="1">
        <v>44719</v>
      </c>
      <c r="F314" s="2">
        <v>0.36874999999999997</v>
      </c>
      <c r="G314" s="3" t="s">
        <v>352</v>
      </c>
      <c r="H314" s="3" t="s">
        <v>353</v>
      </c>
      <c r="I314" t="s">
        <v>23</v>
      </c>
      <c r="J314">
        <v>1.9</v>
      </c>
      <c r="L314" t="s">
        <v>24</v>
      </c>
      <c r="M314">
        <v>0</v>
      </c>
      <c r="Q314" t="s">
        <v>25</v>
      </c>
      <c r="R314">
        <v>100</v>
      </c>
    </row>
    <row r="315" spans="1:18" x14ac:dyDescent="0.2">
      <c r="A315" t="s">
        <v>19</v>
      </c>
      <c r="B315" t="s">
        <v>355</v>
      </c>
      <c r="C315" s="1">
        <v>44718</v>
      </c>
      <c r="D315" s="2">
        <v>0.72569444444444453</v>
      </c>
      <c r="E315" s="1">
        <v>44719</v>
      </c>
      <c r="F315" s="2">
        <v>0.40625</v>
      </c>
      <c r="G315">
        <v>54.073922000000003</v>
      </c>
      <c r="H315">
        <v>124.711523</v>
      </c>
      <c r="I315" t="s">
        <v>23</v>
      </c>
      <c r="J315">
        <v>3.2</v>
      </c>
      <c r="L315" t="s">
        <v>24</v>
      </c>
      <c r="M315">
        <v>0</v>
      </c>
      <c r="Q315" t="s">
        <v>25</v>
      </c>
      <c r="R315">
        <v>100</v>
      </c>
    </row>
    <row r="316" spans="1:18" x14ac:dyDescent="0.2">
      <c r="A316" t="s">
        <v>19</v>
      </c>
      <c r="B316" t="s">
        <v>337</v>
      </c>
      <c r="C316" s="1">
        <v>44719</v>
      </c>
      <c r="D316" s="2">
        <v>0.48333333333333334</v>
      </c>
      <c r="E316" s="1">
        <v>44720</v>
      </c>
      <c r="F316" s="2">
        <v>0.52361111111111114</v>
      </c>
      <c r="G316">
        <v>54.103619999999999</v>
      </c>
      <c r="H316">
        <v>124.707778</v>
      </c>
      <c r="I316" t="s">
        <v>23</v>
      </c>
      <c r="J316">
        <v>6.3</v>
      </c>
      <c r="L316" t="s">
        <v>117</v>
      </c>
      <c r="M316">
        <v>1</v>
      </c>
      <c r="Q316" t="s">
        <v>25</v>
      </c>
      <c r="R316">
        <v>250</v>
      </c>
    </row>
    <row r="317" spans="1:18" x14ac:dyDescent="0.2">
      <c r="A317" t="s">
        <v>19</v>
      </c>
      <c r="B317" t="s">
        <v>338</v>
      </c>
      <c r="C317" s="1">
        <v>44719</v>
      </c>
      <c r="D317" s="2">
        <v>0.3756944444444445</v>
      </c>
      <c r="E317" s="1">
        <v>44720</v>
      </c>
      <c r="F317" s="2">
        <v>0.63194444444444442</v>
      </c>
      <c r="G317">
        <v>54.073739000000003</v>
      </c>
      <c r="H317">
        <v>124.738711</v>
      </c>
      <c r="I317" t="s">
        <v>23</v>
      </c>
      <c r="J317">
        <v>7.2</v>
      </c>
      <c r="L317" t="s">
        <v>24</v>
      </c>
      <c r="M317">
        <v>0</v>
      </c>
      <c r="Q317" t="s">
        <v>25</v>
      </c>
      <c r="R317">
        <v>250</v>
      </c>
    </row>
    <row r="318" spans="1:18" x14ac:dyDescent="0.2">
      <c r="A318" t="s">
        <v>19</v>
      </c>
      <c r="B318" t="s">
        <v>339</v>
      </c>
      <c r="C318" s="1">
        <v>44719</v>
      </c>
      <c r="D318" s="2">
        <v>0.59236111111111112</v>
      </c>
      <c r="E318" s="1">
        <v>44720</v>
      </c>
      <c r="F318" s="2">
        <v>0.50069444444444444</v>
      </c>
      <c r="G318" t="s">
        <v>356</v>
      </c>
      <c r="I318" t="s">
        <v>23</v>
      </c>
      <c r="J318">
        <v>3.1</v>
      </c>
      <c r="L318" t="s">
        <v>24</v>
      </c>
      <c r="M318">
        <v>0</v>
      </c>
      <c r="Q318" t="s">
        <v>25</v>
      </c>
      <c r="R318">
        <v>380</v>
      </c>
    </row>
    <row r="319" spans="1:18" x14ac:dyDescent="0.2">
      <c r="A319" t="s">
        <v>19</v>
      </c>
      <c r="B319" t="s">
        <v>340</v>
      </c>
      <c r="C319" s="1">
        <v>44719</v>
      </c>
      <c r="D319" s="2">
        <v>0.50069444444444444</v>
      </c>
      <c r="E319" s="1">
        <v>44720</v>
      </c>
      <c r="F319" s="2">
        <v>0.50763888888888886</v>
      </c>
      <c r="G319">
        <v>54.102065000000003</v>
      </c>
      <c r="H319">
        <v>124.717246</v>
      </c>
      <c r="I319" t="s">
        <v>23</v>
      </c>
      <c r="J319">
        <v>9.6</v>
      </c>
      <c r="L319" t="s">
        <v>24</v>
      </c>
      <c r="M319">
        <v>0</v>
      </c>
      <c r="Q319" t="s">
        <v>25</v>
      </c>
      <c r="R319">
        <v>240</v>
      </c>
    </row>
    <row r="320" spans="1:18" x14ac:dyDescent="0.2">
      <c r="A320" t="s">
        <v>19</v>
      </c>
      <c r="B320" t="s">
        <v>341</v>
      </c>
      <c r="C320" s="1">
        <v>44719</v>
      </c>
      <c r="D320" s="2">
        <v>0.36805555555555558</v>
      </c>
      <c r="E320" s="1">
        <v>44720</v>
      </c>
      <c r="F320" s="2">
        <v>0.63750000000000007</v>
      </c>
      <c r="G320" s="3" t="s">
        <v>342</v>
      </c>
      <c r="H320" s="3" t="s">
        <v>343</v>
      </c>
      <c r="I320" t="s">
        <v>23</v>
      </c>
      <c r="J320">
        <v>4.4000000000000004</v>
      </c>
      <c r="L320" t="s">
        <v>24</v>
      </c>
      <c r="M320">
        <v>0</v>
      </c>
      <c r="Q320" t="s">
        <v>25</v>
      </c>
      <c r="R320">
        <v>300</v>
      </c>
    </row>
    <row r="321" spans="1:18" x14ac:dyDescent="0.2">
      <c r="A321" t="s">
        <v>19</v>
      </c>
      <c r="B321" t="s">
        <v>344</v>
      </c>
      <c r="C321" s="1">
        <v>44719</v>
      </c>
      <c r="D321" s="2">
        <v>0.50624999999999998</v>
      </c>
      <c r="E321" s="1">
        <v>44720</v>
      </c>
      <c r="F321" s="2">
        <v>0.50416666666666665</v>
      </c>
      <c r="G321">
        <v>54.100504999999998</v>
      </c>
      <c r="H321">
        <v>124.72590700000001</v>
      </c>
      <c r="I321" t="s">
        <v>23</v>
      </c>
      <c r="J321">
        <v>4.5</v>
      </c>
      <c r="L321" t="s">
        <v>117</v>
      </c>
      <c r="M321">
        <v>1</v>
      </c>
      <c r="Q321" t="s">
        <v>25</v>
      </c>
      <c r="R321">
        <v>230</v>
      </c>
    </row>
    <row r="322" spans="1:18" x14ac:dyDescent="0.2">
      <c r="A322" t="s">
        <v>19</v>
      </c>
      <c r="B322" t="s">
        <v>345</v>
      </c>
      <c r="C322" s="1">
        <v>44719</v>
      </c>
      <c r="D322" s="2">
        <v>0.49791666666666662</v>
      </c>
      <c r="E322" s="1">
        <v>44720</v>
      </c>
      <c r="F322" s="2">
        <v>0.51041666666666663</v>
      </c>
      <c r="G322">
        <v>54.102035000000001</v>
      </c>
      <c r="H322">
        <v>124.713939</v>
      </c>
      <c r="I322" t="s">
        <v>23</v>
      </c>
      <c r="J322">
        <v>9.3000000000000007</v>
      </c>
      <c r="L322" t="s">
        <v>24</v>
      </c>
      <c r="M322">
        <v>0</v>
      </c>
      <c r="Q322" t="s">
        <v>25</v>
      </c>
      <c r="R322">
        <v>250</v>
      </c>
    </row>
    <row r="323" spans="1:18" x14ac:dyDescent="0.2">
      <c r="A323" t="s">
        <v>19</v>
      </c>
      <c r="B323" t="s">
        <v>346</v>
      </c>
      <c r="C323" s="1">
        <v>44719</v>
      </c>
      <c r="D323" s="2">
        <v>0.37916666666666665</v>
      </c>
      <c r="E323" s="1">
        <v>44720</v>
      </c>
      <c r="F323" s="2">
        <v>0.62847222222222221</v>
      </c>
      <c r="G323">
        <v>54.073025000000001</v>
      </c>
      <c r="H323">
        <v>124.731555</v>
      </c>
      <c r="I323" t="s">
        <v>23</v>
      </c>
      <c r="J323">
        <v>7.7</v>
      </c>
      <c r="L323" t="s">
        <v>24</v>
      </c>
      <c r="M323">
        <v>0</v>
      </c>
      <c r="Q323" t="s">
        <v>25</v>
      </c>
      <c r="R323">
        <v>350</v>
      </c>
    </row>
    <row r="324" spans="1:18" x14ac:dyDescent="0.2">
      <c r="A324" t="s">
        <v>19</v>
      </c>
      <c r="B324" t="s">
        <v>83</v>
      </c>
      <c r="C324" s="1">
        <v>44719</v>
      </c>
      <c r="D324" s="2">
        <v>0.46458333333333335</v>
      </c>
      <c r="E324" s="1">
        <v>44720</v>
      </c>
      <c r="F324" s="2">
        <v>0.49722222222222223</v>
      </c>
      <c r="G324" s="6" t="s">
        <v>84</v>
      </c>
      <c r="H324" s="6" t="s">
        <v>85</v>
      </c>
      <c r="I324" t="s">
        <v>23</v>
      </c>
      <c r="J324">
        <v>9.8000000000000007</v>
      </c>
      <c r="L324" t="s">
        <v>24</v>
      </c>
      <c r="M324">
        <v>0</v>
      </c>
      <c r="Q324" t="s">
        <v>25</v>
      </c>
      <c r="R324">
        <v>330</v>
      </c>
    </row>
    <row r="325" spans="1:18" x14ac:dyDescent="0.2">
      <c r="A325" t="s">
        <v>19</v>
      </c>
      <c r="B325" t="s">
        <v>348</v>
      </c>
      <c r="C325" s="1">
        <v>44719</v>
      </c>
      <c r="D325" s="2">
        <v>0.41388888888888892</v>
      </c>
      <c r="E325" s="1">
        <v>44720</v>
      </c>
      <c r="F325" s="2">
        <v>0.61736111111111114</v>
      </c>
      <c r="G325">
        <v>54.074181000000003</v>
      </c>
      <c r="H325">
        <v>124.702268</v>
      </c>
      <c r="I325" t="s">
        <v>23</v>
      </c>
      <c r="J325">
        <v>4.7</v>
      </c>
      <c r="L325" t="s">
        <v>24</v>
      </c>
      <c r="M325">
        <v>0</v>
      </c>
      <c r="Q325" t="s">
        <v>25</v>
      </c>
      <c r="R325">
        <v>300</v>
      </c>
    </row>
    <row r="326" spans="1:18" x14ac:dyDescent="0.2">
      <c r="A326" t="s">
        <v>19</v>
      </c>
      <c r="B326" t="s">
        <v>349</v>
      </c>
      <c r="C326" s="1">
        <v>44719</v>
      </c>
      <c r="D326" s="2">
        <v>0.42638888888888887</v>
      </c>
      <c r="E326" s="1">
        <v>44720</v>
      </c>
      <c r="F326" s="2">
        <v>0.49236111111111108</v>
      </c>
      <c r="G326">
        <v>54.088852000000003</v>
      </c>
      <c r="H326">
        <v>124.74549500000001</v>
      </c>
      <c r="I326" t="s">
        <v>23</v>
      </c>
      <c r="J326">
        <v>4.8</v>
      </c>
      <c r="L326" t="s">
        <v>117</v>
      </c>
      <c r="M326">
        <v>1</v>
      </c>
      <c r="O326" s="10"/>
      <c r="P326" s="10"/>
      <c r="Q326" t="s">
        <v>25</v>
      </c>
      <c r="R326">
        <v>350</v>
      </c>
    </row>
    <row r="327" spans="1:18" x14ac:dyDescent="0.2">
      <c r="A327" t="s">
        <v>19</v>
      </c>
      <c r="B327" t="s">
        <v>350</v>
      </c>
      <c r="C327" s="1">
        <v>44719</v>
      </c>
      <c r="D327" s="2">
        <v>0.47361111111111115</v>
      </c>
      <c r="E327" s="1">
        <v>44720</v>
      </c>
      <c r="F327" s="2">
        <v>0.54305555555555551</v>
      </c>
      <c r="G327">
        <v>54.105603000000002</v>
      </c>
      <c r="H327">
        <v>124.679705</v>
      </c>
      <c r="I327" t="s">
        <v>23</v>
      </c>
      <c r="J327">
        <v>5.9</v>
      </c>
      <c r="L327" t="s">
        <v>24</v>
      </c>
      <c r="M327">
        <v>0</v>
      </c>
      <c r="Q327" t="s">
        <v>25</v>
      </c>
      <c r="R327">
        <v>300</v>
      </c>
    </row>
    <row r="328" spans="1:18" x14ac:dyDescent="0.2">
      <c r="A328" t="s">
        <v>19</v>
      </c>
      <c r="B328" t="s">
        <v>351</v>
      </c>
      <c r="C328" s="1">
        <v>44719</v>
      </c>
      <c r="D328" s="2">
        <v>0.37222222222222223</v>
      </c>
      <c r="E328" s="1">
        <v>44720</v>
      </c>
      <c r="F328" s="2">
        <v>0.63402777777777775</v>
      </c>
      <c r="G328" s="3" t="s">
        <v>352</v>
      </c>
      <c r="H328" s="3" t="s">
        <v>353</v>
      </c>
      <c r="I328" t="s">
        <v>23</v>
      </c>
      <c r="J328">
        <v>4.5</v>
      </c>
      <c r="L328" t="s">
        <v>24</v>
      </c>
      <c r="M328">
        <v>0</v>
      </c>
      <c r="Q328" t="s">
        <v>25</v>
      </c>
      <c r="R328">
        <v>330</v>
      </c>
    </row>
    <row r="329" spans="1:18" x14ac:dyDescent="0.2">
      <c r="A329" t="s">
        <v>19</v>
      </c>
      <c r="B329" t="s">
        <v>354</v>
      </c>
      <c r="C329" s="1">
        <v>44719</v>
      </c>
      <c r="D329" s="2">
        <v>0.40138888888888885</v>
      </c>
      <c r="E329" s="1">
        <v>44720</v>
      </c>
      <c r="F329" s="2">
        <v>0.62430555555555556</v>
      </c>
      <c r="G329">
        <v>54.073860000000003</v>
      </c>
      <c r="H329">
        <v>124.72346400000001</v>
      </c>
      <c r="I329" t="s">
        <v>23</v>
      </c>
      <c r="J329">
        <v>7.5</v>
      </c>
      <c r="L329" t="s">
        <v>24</v>
      </c>
      <c r="M329">
        <v>0</v>
      </c>
      <c r="Q329" t="s">
        <v>25</v>
      </c>
      <c r="R329">
        <v>300</v>
      </c>
    </row>
    <row r="330" spans="1:18" x14ac:dyDescent="0.2">
      <c r="A330" t="s">
        <v>19</v>
      </c>
      <c r="B330" t="s">
        <v>355</v>
      </c>
      <c r="C330" s="1">
        <v>44719</v>
      </c>
      <c r="D330" s="2">
        <v>0.40763888888888888</v>
      </c>
      <c r="E330" s="1">
        <v>44720</v>
      </c>
      <c r="F330" s="2">
        <v>0.62083333333333335</v>
      </c>
      <c r="G330">
        <v>54.073922000000003</v>
      </c>
      <c r="H330">
        <v>124.711523</v>
      </c>
      <c r="I330" t="s">
        <v>23</v>
      </c>
      <c r="J330">
        <v>4.2</v>
      </c>
      <c r="L330" t="s">
        <v>117</v>
      </c>
      <c r="M330">
        <v>1</v>
      </c>
      <c r="Q330" t="s">
        <v>25</v>
      </c>
      <c r="R330">
        <v>350</v>
      </c>
    </row>
    <row r="331" spans="1:18" x14ac:dyDescent="0.2">
      <c r="A331" t="s">
        <v>19</v>
      </c>
      <c r="B331" t="s">
        <v>357</v>
      </c>
      <c r="C331" s="1">
        <v>44720</v>
      </c>
      <c r="D331" s="2">
        <v>0.58819444444444446</v>
      </c>
      <c r="E331" s="1">
        <v>44722</v>
      </c>
      <c r="F331" s="2">
        <v>0.39861111111111108</v>
      </c>
      <c r="G331">
        <v>54.066749999999999</v>
      </c>
      <c r="H331">
        <v>124.622945</v>
      </c>
      <c r="I331" t="s">
        <v>23</v>
      </c>
      <c r="J331">
        <v>8.4</v>
      </c>
      <c r="L331" t="s">
        <v>24</v>
      </c>
      <c r="M331">
        <v>0</v>
      </c>
      <c r="Q331" t="s">
        <v>358</v>
      </c>
      <c r="R331">
        <v>100</v>
      </c>
    </row>
    <row r="332" spans="1:18" x14ac:dyDescent="0.2">
      <c r="A332" t="s">
        <v>19</v>
      </c>
      <c r="B332" t="s">
        <v>359</v>
      </c>
      <c r="C332" s="1">
        <v>44720</v>
      </c>
      <c r="D332" s="2">
        <v>0.58333333333333337</v>
      </c>
      <c r="E332" s="1">
        <v>44722</v>
      </c>
      <c r="F332" s="2">
        <v>0.39027777777777778</v>
      </c>
      <c r="G332">
        <v>54.076759000000003</v>
      </c>
      <c r="H332">
        <v>124.620445</v>
      </c>
      <c r="I332" t="s">
        <v>23</v>
      </c>
      <c r="J332">
        <v>8.9</v>
      </c>
      <c r="L332" t="s">
        <v>24</v>
      </c>
      <c r="M332">
        <v>0</v>
      </c>
      <c r="Q332" t="s">
        <v>358</v>
      </c>
      <c r="R332">
        <v>100</v>
      </c>
    </row>
    <row r="333" spans="1:18" x14ac:dyDescent="0.2">
      <c r="A333" t="s">
        <v>19</v>
      </c>
      <c r="B333" t="s">
        <v>360</v>
      </c>
      <c r="C333" s="1">
        <v>44720</v>
      </c>
      <c r="D333" s="2">
        <v>0.55208333333333337</v>
      </c>
      <c r="E333" s="1">
        <v>44722</v>
      </c>
      <c r="F333" s="2">
        <v>0.3527777777777778</v>
      </c>
      <c r="G333">
        <v>54.100209999999997</v>
      </c>
      <c r="H333">
        <v>124.669909</v>
      </c>
      <c r="I333" t="s">
        <v>23</v>
      </c>
      <c r="J333">
        <v>4.8</v>
      </c>
      <c r="L333" t="s">
        <v>24</v>
      </c>
      <c r="M333">
        <v>0</v>
      </c>
      <c r="Q333" t="s">
        <v>358</v>
      </c>
      <c r="R333">
        <v>130</v>
      </c>
    </row>
    <row r="334" spans="1:18" x14ac:dyDescent="0.2">
      <c r="A334" t="s">
        <v>19</v>
      </c>
      <c r="B334" t="s">
        <v>361</v>
      </c>
      <c r="C334" s="1">
        <v>44720</v>
      </c>
      <c r="D334" s="2">
        <v>0.66111111111111109</v>
      </c>
      <c r="E334" s="1">
        <v>44722</v>
      </c>
      <c r="F334" s="2">
        <v>0.52777777777777779</v>
      </c>
      <c r="G334">
        <v>54.062975999999999</v>
      </c>
      <c r="H334">
        <v>124.63747600000001</v>
      </c>
      <c r="I334" t="s">
        <v>23</v>
      </c>
      <c r="J334">
        <v>9.6999999999999993</v>
      </c>
      <c r="L334" t="s">
        <v>32</v>
      </c>
      <c r="M334">
        <v>2</v>
      </c>
      <c r="Q334" t="s">
        <v>358</v>
      </c>
      <c r="R334">
        <v>150</v>
      </c>
    </row>
    <row r="335" spans="1:18" x14ac:dyDescent="0.2">
      <c r="A335" t="s">
        <v>19</v>
      </c>
      <c r="B335" t="s">
        <v>364</v>
      </c>
      <c r="C335" s="1">
        <v>44720</v>
      </c>
      <c r="D335" s="2">
        <v>0.65</v>
      </c>
      <c r="E335" s="1">
        <v>44722</v>
      </c>
      <c r="F335" s="2">
        <v>0.50486111111111109</v>
      </c>
      <c r="G335">
        <v>54.072526000000003</v>
      </c>
      <c r="H335">
        <v>124.66850700000001</v>
      </c>
      <c r="I335" t="s">
        <v>23</v>
      </c>
      <c r="J335">
        <v>9.5</v>
      </c>
      <c r="L335" t="s">
        <v>24</v>
      </c>
      <c r="M335">
        <v>0</v>
      </c>
      <c r="Q335" t="s">
        <v>358</v>
      </c>
      <c r="R335">
        <v>100</v>
      </c>
    </row>
    <row r="336" spans="1:18" x14ac:dyDescent="0.2">
      <c r="A336" t="s">
        <v>19</v>
      </c>
      <c r="B336" t="s">
        <v>365</v>
      </c>
      <c r="C336" s="1">
        <v>44720</v>
      </c>
      <c r="D336" s="2">
        <v>0.59097222222222223</v>
      </c>
      <c r="E336" s="1">
        <v>44722</v>
      </c>
      <c r="F336" s="2">
        <v>0.40069444444444446</v>
      </c>
      <c r="G336">
        <v>54.065795000000001</v>
      </c>
      <c r="H336">
        <v>124.623451</v>
      </c>
      <c r="I336" t="s">
        <v>23</v>
      </c>
      <c r="J336">
        <v>3.6</v>
      </c>
      <c r="L336" t="s">
        <v>24</v>
      </c>
      <c r="M336">
        <v>0</v>
      </c>
      <c r="Q336" t="s">
        <v>358</v>
      </c>
      <c r="R336">
        <v>100</v>
      </c>
    </row>
    <row r="337" spans="1:18" x14ac:dyDescent="0.2">
      <c r="A337" t="s">
        <v>19</v>
      </c>
      <c r="B337" t="s">
        <v>366</v>
      </c>
      <c r="C337" s="1">
        <v>44720</v>
      </c>
      <c r="D337" s="2">
        <v>0.67847222222222225</v>
      </c>
      <c r="E337" s="1">
        <v>44722</v>
      </c>
      <c r="F337" s="2">
        <v>0.40347222222222223</v>
      </c>
      <c r="G337">
        <v>54.063507999999999</v>
      </c>
      <c r="H337">
        <v>124.622956</v>
      </c>
      <c r="I337" t="s">
        <v>23</v>
      </c>
      <c r="J337">
        <v>8.9</v>
      </c>
      <c r="L337" t="s">
        <v>24</v>
      </c>
      <c r="M337">
        <v>0</v>
      </c>
      <c r="Q337" t="s">
        <v>358</v>
      </c>
      <c r="R337">
        <v>100</v>
      </c>
    </row>
    <row r="338" spans="1:18" x14ac:dyDescent="0.2">
      <c r="A338" t="s">
        <v>19</v>
      </c>
      <c r="B338" t="s">
        <v>367</v>
      </c>
      <c r="C338" s="1">
        <v>44720</v>
      </c>
      <c r="D338" s="2">
        <v>0.65763888888888888</v>
      </c>
      <c r="E338" s="1">
        <v>44722</v>
      </c>
      <c r="F338" s="2">
        <v>0.52083333333333337</v>
      </c>
      <c r="G338">
        <v>54.069068000000001</v>
      </c>
      <c r="H338">
        <v>124.648332</v>
      </c>
      <c r="I338" t="s">
        <v>23</v>
      </c>
      <c r="J338">
        <v>10</v>
      </c>
      <c r="L338" t="s">
        <v>24</v>
      </c>
      <c r="M338">
        <v>0</v>
      </c>
      <c r="Q338" t="s">
        <v>358</v>
      </c>
      <c r="R338">
        <v>100</v>
      </c>
    </row>
    <row r="339" spans="1:18" x14ac:dyDescent="0.2">
      <c r="A339" t="s">
        <v>19</v>
      </c>
      <c r="B339" t="s">
        <v>368</v>
      </c>
      <c r="C339" s="1">
        <v>44720</v>
      </c>
      <c r="D339" s="2">
        <v>0.56458333333333333</v>
      </c>
      <c r="E339" s="1">
        <v>44722</v>
      </c>
      <c r="F339" s="2">
        <v>0.35833333333333334</v>
      </c>
      <c r="G339">
        <v>54.100267000000002</v>
      </c>
      <c r="H339">
        <v>124.650801</v>
      </c>
      <c r="I339" t="s">
        <v>23</v>
      </c>
      <c r="J339">
        <v>4.5999999999999996</v>
      </c>
      <c r="L339" t="s">
        <v>24</v>
      </c>
      <c r="M339">
        <v>0</v>
      </c>
      <c r="Q339" t="s">
        <v>358</v>
      </c>
      <c r="R339">
        <v>100</v>
      </c>
    </row>
    <row r="340" spans="1:18" x14ac:dyDescent="0.2">
      <c r="A340" t="s">
        <v>19</v>
      </c>
      <c r="B340" t="s">
        <v>369</v>
      </c>
      <c r="C340" s="1">
        <v>44720</v>
      </c>
      <c r="D340" s="2">
        <v>0.55833333333333335</v>
      </c>
      <c r="E340" s="1">
        <v>44722</v>
      </c>
      <c r="F340" s="2">
        <v>0.35486111111111113</v>
      </c>
      <c r="G340">
        <v>54.100524999999998</v>
      </c>
      <c r="H340">
        <v>124.668182</v>
      </c>
      <c r="I340" t="s">
        <v>23</v>
      </c>
      <c r="J340">
        <v>5.2</v>
      </c>
      <c r="L340" t="s">
        <v>24</v>
      </c>
      <c r="M340">
        <v>0</v>
      </c>
      <c r="Q340" t="s">
        <v>358</v>
      </c>
      <c r="R340">
        <v>120</v>
      </c>
    </row>
    <row r="341" spans="1:18" x14ac:dyDescent="0.2">
      <c r="A341" t="s">
        <v>19</v>
      </c>
      <c r="B341" t="s">
        <v>374</v>
      </c>
      <c r="C341" s="1">
        <v>44720</v>
      </c>
      <c r="D341" s="2">
        <v>0.66319444444444442</v>
      </c>
      <c r="E341" s="1">
        <v>44722</v>
      </c>
      <c r="F341" s="2">
        <v>0.53541666666666665</v>
      </c>
      <c r="G341">
        <v>54.059035000000002</v>
      </c>
      <c r="H341">
        <v>124.636178</v>
      </c>
      <c r="I341" t="s">
        <v>23</v>
      </c>
      <c r="J341">
        <v>6.9</v>
      </c>
      <c r="L341" t="s">
        <v>24</v>
      </c>
      <c r="M341">
        <v>0</v>
      </c>
      <c r="Q341" t="s">
        <v>358</v>
      </c>
      <c r="R341">
        <v>175</v>
      </c>
    </row>
    <row r="342" spans="1:18" x14ac:dyDescent="0.2">
      <c r="A342" t="s">
        <v>19</v>
      </c>
      <c r="B342" t="s">
        <v>375</v>
      </c>
      <c r="C342" s="1">
        <v>44722</v>
      </c>
      <c r="D342" s="2">
        <v>0.4909722222222222</v>
      </c>
      <c r="E342" s="1">
        <v>44724</v>
      </c>
      <c r="F342" s="2">
        <v>0.53333333333333333</v>
      </c>
      <c r="G342">
        <v>54.058680000000003</v>
      </c>
      <c r="H342">
        <v>124.625438</v>
      </c>
      <c r="I342" t="s">
        <v>23</v>
      </c>
      <c r="J342">
        <v>9</v>
      </c>
      <c r="L342" t="s">
        <v>24</v>
      </c>
      <c r="M342">
        <v>0</v>
      </c>
      <c r="Q342" t="s">
        <v>358</v>
      </c>
      <c r="R342">
        <v>170</v>
      </c>
    </row>
    <row r="343" spans="1:18" x14ac:dyDescent="0.2">
      <c r="A343" t="s">
        <v>19</v>
      </c>
      <c r="B343" t="s">
        <v>59</v>
      </c>
      <c r="C343" s="1">
        <v>44722</v>
      </c>
      <c r="D343" s="2">
        <v>0.49444444444444446</v>
      </c>
      <c r="E343" s="1">
        <v>44724</v>
      </c>
      <c r="F343" s="2">
        <v>0.53055555555555556</v>
      </c>
      <c r="G343">
        <v>54.059704000000004</v>
      </c>
      <c r="H343">
        <v>124.631342</v>
      </c>
      <c r="I343" t="s">
        <v>23</v>
      </c>
      <c r="J343">
        <v>9.5</v>
      </c>
      <c r="L343" t="s">
        <v>24</v>
      </c>
      <c r="M343">
        <v>0</v>
      </c>
      <c r="Q343" t="s">
        <v>358</v>
      </c>
      <c r="R343">
        <v>180</v>
      </c>
    </row>
    <row r="344" spans="1:18" x14ac:dyDescent="0.2">
      <c r="A344" t="s">
        <v>19</v>
      </c>
      <c r="B344" t="s">
        <v>62</v>
      </c>
      <c r="C344" s="1">
        <v>44722</v>
      </c>
      <c r="D344" s="2">
        <v>0.50624999999999998</v>
      </c>
      <c r="E344" s="1">
        <v>44724</v>
      </c>
      <c r="F344" s="2">
        <v>0.54097222222222219</v>
      </c>
      <c r="G344">
        <v>54.071460999999999</v>
      </c>
      <c r="H344">
        <v>124.66674399999999</v>
      </c>
      <c r="I344" t="s">
        <v>23</v>
      </c>
      <c r="J344">
        <v>8.1999999999999993</v>
      </c>
      <c r="L344" t="s">
        <v>117</v>
      </c>
      <c r="M344">
        <v>1</v>
      </c>
      <c r="O344" s="10"/>
      <c r="P344" s="10"/>
      <c r="Q344" t="s">
        <v>358</v>
      </c>
      <c r="R344">
        <v>180</v>
      </c>
    </row>
    <row r="345" spans="1:18" x14ac:dyDescent="0.2">
      <c r="A345" t="s">
        <v>19</v>
      </c>
      <c r="B345" t="s">
        <v>376</v>
      </c>
      <c r="C345" s="1">
        <v>44722</v>
      </c>
      <c r="D345" s="2">
        <v>0.48888888888888887</v>
      </c>
      <c r="E345" s="1">
        <v>44724</v>
      </c>
      <c r="F345" s="2">
        <v>0.52708333333333335</v>
      </c>
      <c r="G345">
        <v>54.065702000000002</v>
      </c>
      <c r="H345">
        <v>124.624225</v>
      </c>
      <c r="I345" t="s">
        <v>23</v>
      </c>
      <c r="J345">
        <v>6.2</v>
      </c>
      <c r="L345" t="s">
        <v>24</v>
      </c>
      <c r="M345">
        <v>0</v>
      </c>
      <c r="Q345" t="s">
        <v>358</v>
      </c>
      <c r="R345">
        <v>110</v>
      </c>
    </row>
    <row r="346" spans="1:18" x14ac:dyDescent="0.2">
      <c r="A346" t="s">
        <v>19</v>
      </c>
      <c r="B346" t="s">
        <v>380</v>
      </c>
      <c r="C346" s="1">
        <v>44722</v>
      </c>
      <c r="D346" s="2">
        <v>0.4777777777777778</v>
      </c>
      <c r="E346" s="1">
        <v>44724</v>
      </c>
      <c r="F346" s="2">
        <v>0.51388888888888895</v>
      </c>
      <c r="G346">
        <v>54.080796999999997</v>
      </c>
      <c r="H346">
        <v>124.620813</v>
      </c>
      <c r="I346" t="s">
        <v>23</v>
      </c>
      <c r="J346">
        <v>6.3</v>
      </c>
      <c r="L346" t="s">
        <v>24</v>
      </c>
      <c r="M346">
        <v>0</v>
      </c>
      <c r="Q346" t="s">
        <v>358</v>
      </c>
      <c r="R346">
        <v>160</v>
      </c>
    </row>
    <row r="347" spans="1:18" x14ac:dyDescent="0.2">
      <c r="A347" t="s">
        <v>19</v>
      </c>
      <c r="B347" t="s">
        <v>381</v>
      </c>
      <c r="C347" s="1">
        <v>44722</v>
      </c>
      <c r="D347" s="2">
        <v>0.47083333333333338</v>
      </c>
      <c r="E347" s="1">
        <v>44724</v>
      </c>
      <c r="F347" s="2">
        <v>0.50694444444444442</v>
      </c>
      <c r="G347">
        <v>54.092382999999998</v>
      </c>
      <c r="H347">
        <v>124.630956</v>
      </c>
      <c r="I347" t="s">
        <v>23</v>
      </c>
      <c r="J347">
        <v>4.7</v>
      </c>
      <c r="L347" t="s">
        <v>24</v>
      </c>
      <c r="M347">
        <v>0</v>
      </c>
      <c r="Q347" t="s">
        <v>358</v>
      </c>
      <c r="R347">
        <v>140</v>
      </c>
    </row>
    <row r="348" spans="1:18" x14ac:dyDescent="0.2">
      <c r="A348" t="s">
        <v>19</v>
      </c>
      <c r="B348" t="s">
        <v>382</v>
      </c>
      <c r="C348" s="1">
        <v>44722</v>
      </c>
      <c r="D348" s="2">
        <v>0.47500000000000003</v>
      </c>
      <c r="E348" s="1">
        <v>44724</v>
      </c>
      <c r="F348" s="2">
        <v>0.51041666666666663</v>
      </c>
      <c r="G348">
        <v>54.082999000000001</v>
      </c>
      <c r="H348">
        <v>124.62443399999999</v>
      </c>
      <c r="I348" t="s">
        <v>23</v>
      </c>
      <c r="J348">
        <v>5.5</v>
      </c>
      <c r="L348" t="s">
        <v>117</v>
      </c>
      <c r="M348">
        <v>1</v>
      </c>
      <c r="Q348" t="s">
        <v>358</v>
      </c>
      <c r="R348">
        <v>120</v>
      </c>
    </row>
    <row r="349" spans="1:18" x14ac:dyDescent="0.2">
      <c r="A349" t="s">
        <v>19</v>
      </c>
      <c r="B349" t="s">
        <v>383</v>
      </c>
      <c r="C349" s="1">
        <v>44722</v>
      </c>
      <c r="D349" s="2">
        <v>0.48402777777777778</v>
      </c>
      <c r="E349" s="1">
        <v>44724</v>
      </c>
      <c r="F349" s="2">
        <v>0.52430555555555558</v>
      </c>
      <c r="G349">
        <v>54.073464000000001</v>
      </c>
      <c r="H349">
        <v>124.622511</v>
      </c>
      <c r="I349" t="s">
        <v>23</v>
      </c>
      <c r="J349">
        <v>4.5</v>
      </c>
      <c r="L349" t="s">
        <v>24</v>
      </c>
      <c r="M349">
        <v>0</v>
      </c>
      <c r="Q349" t="s">
        <v>358</v>
      </c>
      <c r="R349">
        <v>170</v>
      </c>
    </row>
    <row r="350" spans="1:18" x14ac:dyDescent="0.2">
      <c r="A350" t="s">
        <v>453</v>
      </c>
      <c r="B350" t="s">
        <v>562</v>
      </c>
      <c r="C350" s="1">
        <v>44732</v>
      </c>
      <c r="D350" s="2">
        <v>0.66527777777777775</v>
      </c>
      <c r="E350" s="1">
        <v>44733</v>
      </c>
      <c r="F350" s="2">
        <v>0.41805555555555557</v>
      </c>
      <c r="G350">
        <v>54.754902999999999</v>
      </c>
      <c r="H350">
        <v>123.40984400000001</v>
      </c>
      <c r="I350" t="s">
        <v>23</v>
      </c>
      <c r="J350">
        <v>4.8</v>
      </c>
      <c r="L350" t="s">
        <v>24</v>
      </c>
      <c r="M350">
        <v>0</v>
      </c>
      <c r="Q350" t="s">
        <v>455</v>
      </c>
      <c r="R350">
        <v>100</v>
      </c>
    </row>
    <row r="351" spans="1:18" x14ac:dyDescent="0.2">
      <c r="A351" t="s">
        <v>453</v>
      </c>
      <c r="B351" t="s">
        <v>577</v>
      </c>
      <c r="C351" s="1">
        <v>44732</v>
      </c>
      <c r="D351" s="2">
        <v>0.75694444444444453</v>
      </c>
      <c r="E351" s="1">
        <v>44733</v>
      </c>
      <c r="F351" s="2">
        <v>0.48749999999999999</v>
      </c>
      <c r="G351">
        <v>54.778584000000002</v>
      </c>
      <c r="H351">
        <v>123.380413</v>
      </c>
      <c r="I351" t="s">
        <v>23</v>
      </c>
      <c r="J351">
        <v>8.1</v>
      </c>
      <c r="L351" t="s">
        <v>24</v>
      </c>
      <c r="M351">
        <v>0</v>
      </c>
      <c r="Q351" t="s">
        <v>455</v>
      </c>
      <c r="R351">
        <v>150</v>
      </c>
    </row>
    <row r="352" spans="1:18" x14ac:dyDescent="0.2">
      <c r="A352" t="s">
        <v>453</v>
      </c>
      <c r="B352" t="s">
        <v>563</v>
      </c>
      <c r="C352" s="1">
        <v>44732</v>
      </c>
      <c r="D352" s="2">
        <v>0.6743055555555556</v>
      </c>
      <c r="E352" s="1">
        <v>44733</v>
      </c>
      <c r="F352" s="2">
        <v>0.4236111111111111</v>
      </c>
      <c r="G352">
        <v>54.769067999999997</v>
      </c>
      <c r="H352">
        <v>123.408801</v>
      </c>
      <c r="I352" t="s">
        <v>23</v>
      </c>
      <c r="J352">
        <v>7.4</v>
      </c>
      <c r="L352" t="s">
        <v>117</v>
      </c>
      <c r="M352">
        <v>1</v>
      </c>
      <c r="Q352" t="s">
        <v>455</v>
      </c>
      <c r="R352">
        <v>150</v>
      </c>
    </row>
    <row r="353" spans="1:18" x14ac:dyDescent="0.2">
      <c r="A353" t="s">
        <v>453</v>
      </c>
      <c r="B353" t="s">
        <v>569</v>
      </c>
      <c r="C353" s="1">
        <v>44732</v>
      </c>
      <c r="D353" s="2">
        <v>0.72361111111111109</v>
      </c>
      <c r="E353" s="1">
        <v>44733</v>
      </c>
      <c r="F353" s="2">
        <v>0.45416666666666666</v>
      </c>
      <c r="G353">
        <v>54.775188999999997</v>
      </c>
      <c r="H353">
        <v>123.40331399999999</v>
      </c>
      <c r="I353" t="s">
        <v>23</v>
      </c>
      <c r="J353">
        <v>8.5</v>
      </c>
      <c r="L353" t="s">
        <v>439</v>
      </c>
      <c r="M353">
        <v>3</v>
      </c>
      <c r="Q353" t="s">
        <v>455</v>
      </c>
      <c r="R353">
        <v>150</v>
      </c>
    </row>
    <row r="354" spans="1:18" x14ac:dyDescent="0.2">
      <c r="A354" t="s">
        <v>453</v>
      </c>
      <c r="B354" t="s">
        <v>564</v>
      </c>
      <c r="C354" s="1">
        <v>44732</v>
      </c>
      <c r="D354" s="2">
        <v>0.68055555555555547</v>
      </c>
      <c r="E354" s="1">
        <v>44733</v>
      </c>
      <c r="F354" s="2">
        <v>0.4291666666666667</v>
      </c>
      <c r="G354">
        <v>54.774118999999999</v>
      </c>
      <c r="H354">
        <v>123.419657</v>
      </c>
      <c r="I354" t="s">
        <v>23</v>
      </c>
      <c r="J354">
        <v>7.5</v>
      </c>
      <c r="L354" t="s">
        <v>24</v>
      </c>
      <c r="M354">
        <v>0</v>
      </c>
      <c r="Q354" t="s">
        <v>455</v>
      </c>
      <c r="R354">
        <v>150</v>
      </c>
    </row>
    <row r="355" spans="1:18" x14ac:dyDescent="0.2">
      <c r="A355" t="s">
        <v>453</v>
      </c>
      <c r="B355" t="s">
        <v>568</v>
      </c>
      <c r="C355" s="1">
        <v>44732</v>
      </c>
      <c r="D355" s="2">
        <v>0.71388888888888891</v>
      </c>
      <c r="E355" s="1">
        <v>44733</v>
      </c>
      <c r="F355" s="2">
        <v>0.44375000000000003</v>
      </c>
      <c r="G355">
        <v>54.788376</v>
      </c>
      <c r="H355">
        <v>123.40417600000001</v>
      </c>
      <c r="I355" t="s">
        <v>23</v>
      </c>
      <c r="J355">
        <v>6.9</v>
      </c>
      <c r="L355" t="s">
        <v>24</v>
      </c>
      <c r="M355">
        <v>0</v>
      </c>
      <c r="Q355" t="s">
        <v>455</v>
      </c>
      <c r="R355">
        <v>100</v>
      </c>
    </row>
    <row r="356" spans="1:18" x14ac:dyDescent="0.2">
      <c r="A356" t="s">
        <v>453</v>
      </c>
      <c r="B356" t="s">
        <v>578</v>
      </c>
      <c r="C356" s="1">
        <v>44732</v>
      </c>
      <c r="D356" s="2">
        <v>0.7597222222222223</v>
      </c>
      <c r="E356" s="1">
        <v>44733</v>
      </c>
      <c r="F356" s="2">
        <v>0.49305555555555558</v>
      </c>
      <c r="G356">
        <v>54.781832000000001</v>
      </c>
      <c r="H356">
        <v>123.380126</v>
      </c>
      <c r="I356" t="s">
        <v>23</v>
      </c>
      <c r="J356">
        <v>9.6</v>
      </c>
      <c r="L356" t="s">
        <v>24</v>
      </c>
      <c r="M356">
        <v>0</v>
      </c>
      <c r="Q356" t="s">
        <v>455</v>
      </c>
      <c r="R356">
        <v>150</v>
      </c>
    </row>
    <row r="357" spans="1:18" x14ac:dyDescent="0.2">
      <c r="A357" t="s">
        <v>453</v>
      </c>
      <c r="B357" t="s">
        <v>573</v>
      </c>
      <c r="C357" s="1">
        <v>44732</v>
      </c>
      <c r="D357" s="2">
        <v>0.75</v>
      </c>
      <c r="E357" s="1">
        <v>44733</v>
      </c>
      <c r="F357" s="2">
        <v>0.47569444444444442</v>
      </c>
      <c r="G357">
        <v>54.776629999999997</v>
      </c>
      <c r="H357">
        <v>123.388437</v>
      </c>
      <c r="I357" t="s">
        <v>23</v>
      </c>
      <c r="J357">
        <v>8.4</v>
      </c>
      <c r="L357" t="s">
        <v>24</v>
      </c>
      <c r="M357">
        <v>0</v>
      </c>
      <c r="Q357" t="s">
        <v>455</v>
      </c>
      <c r="R357">
        <v>150</v>
      </c>
    </row>
    <row r="358" spans="1:18" x14ac:dyDescent="0.2">
      <c r="A358" t="s">
        <v>453</v>
      </c>
      <c r="B358" t="s">
        <v>565</v>
      </c>
      <c r="C358" s="1">
        <v>44732</v>
      </c>
      <c r="D358" s="2">
        <v>0.68680555555555556</v>
      </c>
      <c r="E358" s="1">
        <v>44733</v>
      </c>
      <c r="F358" s="2">
        <v>0.43333333333333335</v>
      </c>
      <c r="G358">
        <v>54.775562999999998</v>
      </c>
      <c r="H358">
        <v>123.42356700000001</v>
      </c>
      <c r="I358" t="s">
        <v>23</v>
      </c>
      <c r="J358">
        <v>8.3000000000000007</v>
      </c>
      <c r="L358" t="s">
        <v>24</v>
      </c>
      <c r="M358">
        <v>0</v>
      </c>
      <c r="Q358" t="s">
        <v>455</v>
      </c>
      <c r="R358">
        <v>100</v>
      </c>
    </row>
    <row r="359" spans="1:18" x14ac:dyDescent="0.2">
      <c r="A359" t="s">
        <v>453</v>
      </c>
      <c r="B359" t="s">
        <v>555</v>
      </c>
      <c r="C359" s="1">
        <v>44732</v>
      </c>
      <c r="D359" s="2">
        <v>0.63124999999999998</v>
      </c>
      <c r="E359" s="1">
        <v>44733</v>
      </c>
      <c r="F359" s="2">
        <v>0.375</v>
      </c>
      <c r="G359">
        <v>54.76341</v>
      </c>
      <c r="H359">
        <v>123.365154</v>
      </c>
      <c r="I359" t="s">
        <v>23</v>
      </c>
      <c r="J359">
        <v>5.8</v>
      </c>
      <c r="L359" t="s">
        <v>439</v>
      </c>
      <c r="M359">
        <v>3</v>
      </c>
      <c r="Q359" t="s">
        <v>455</v>
      </c>
      <c r="R359">
        <v>150</v>
      </c>
    </row>
    <row r="360" spans="1:18" x14ac:dyDescent="0.2">
      <c r="A360" t="s">
        <v>453</v>
      </c>
      <c r="B360" t="s">
        <v>566</v>
      </c>
      <c r="C360" s="1">
        <v>44732</v>
      </c>
      <c r="D360" s="2">
        <v>0.70416666666666661</v>
      </c>
      <c r="E360" s="1">
        <v>44733</v>
      </c>
      <c r="F360" s="2">
        <v>0.4375</v>
      </c>
      <c r="G360">
        <v>54.785117</v>
      </c>
      <c r="H360">
        <v>123.405649</v>
      </c>
      <c r="I360" t="s">
        <v>23</v>
      </c>
      <c r="J360">
        <v>8.1</v>
      </c>
      <c r="L360" t="s">
        <v>24</v>
      </c>
      <c r="M360">
        <v>0</v>
      </c>
      <c r="Q360" t="s">
        <v>455</v>
      </c>
      <c r="R360">
        <v>100</v>
      </c>
    </row>
    <row r="361" spans="1:18" x14ac:dyDescent="0.2">
      <c r="A361" t="s">
        <v>453</v>
      </c>
      <c r="B361" t="s">
        <v>567</v>
      </c>
      <c r="C361" s="1">
        <v>44732</v>
      </c>
      <c r="D361" s="2">
        <v>0.7090277777777777</v>
      </c>
      <c r="E361" s="1">
        <v>44733</v>
      </c>
      <c r="F361" s="2">
        <v>0.44097222222222227</v>
      </c>
      <c r="G361">
        <v>54.789287999999999</v>
      </c>
      <c r="H361">
        <v>123.39983100000001</v>
      </c>
      <c r="I361" t="s">
        <v>23</v>
      </c>
      <c r="J361">
        <v>8.5</v>
      </c>
      <c r="L361" t="s">
        <v>24</v>
      </c>
      <c r="M361">
        <v>0</v>
      </c>
      <c r="Q361" t="s">
        <v>455</v>
      </c>
      <c r="R361">
        <v>100</v>
      </c>
    </row>
    <row r="362" spans="1:18" x14ac:dyDescent="0.2">
      <c r="A362" t="s">
        <v>453</v>
      </c>
      <c r="B362" t="s">
        <v>584</v>
      </c>
      <c r="C362" s="1">
        <v>44733</v>
      </c>
      <c r="D362" s="2">
        <v>0.55763888888888891</v>
      </c>
      <c r="E362" s="1">
        <v>44734</v>
      </c>
      <c r="F362" s="2">
        <v>0.39374999999999999</v>
      </c>
      <c r="G362">
        <v>54.727998999999997</v>
      </c>
      <c r="H362">
        <v>123.37607300000001</v>
      </c>
      <c r="I362" t="s">
        <v>23</v>
      </c>
      <c r="J362">
        <v>9.6</v>
      </c>
      <c r="L362" t="s">
        <v>24</v>
      </c>
      <c r="M362">
        <v>0</v>
      </c>
      <c r="Q362" t="s">
        <v>455</v>
      </c>
      <c r="R362">
        <v>200</v>
      </c>
    </row>
    <row r="363" spans="1:18" x14ac:dyDescent="0.2">
      <c r="A363" t="s">
        <v>453</v>
      </c>
      <c r="B363" t="s">
        <v>607</v>
      </c>
      <c r="C363" s="1">
        <v>44733</v>
      </c>
      <c r="D363" s="2">
        <v>0.60416666666666663</v>
      </c>
      <c r="E363" s="1">
        <v>44734</v>
      </c>
      <c r="F363" s="2">
        <v>0.47222222222222227</v>
      </c>
      <c r="G363">
        <v>54.720469000000001</v>
      </c>
      <c r="H363">
        <v>123.351602</v>
      </c>
      <c r="I363" t="s">
        <v>23</v>
      </c>
      <c r="J363">
        <v>9.8000000000000007</v>
      </c>
      <c r="L363" t="s">
        <v>24</v>
      </c>
      <c r="M363">
        <v>0</v>
      </c>
      <c r="Q363" t="s">
        <v>455</v>
      </c>
      <c r="R363">
        <v>200</v>
      </c>
    </row>
    <row r="364" spans="1:18" x14ac:dyDescent="0.2">
      <c r="A364" t="s">
        <v>453</v>
      </c>
      <c r="B364" t="s">
        <v>606</v>
      </c>
      <c r="C364" s="1">
        <v>44733</v>
      </c>
      <c r="D364" s="2">
        <v>0.59930555555555554</v>
      </c>
      <c r="E364" s="1">
        <v>44734</v>
      </c>
      <c r="F364" s="2">
        <v>0.4680555555555555</v>
      </c>
      <c r="G364">
        <v>54.720353000000003</v>
      </c>
      <c r="H364">
        <v>123.357865</v>
      </c>
      <c r="I364" t="s">
        <v>23</v>
      </c>
      <c r="J364">
        <v>9.6999999999999993</v>
      </c>
      <c r="L364" t="s">
        <v>24</v>
      </c>
      <c r="M364">
        <v>0</v>
      </c>
      <c r="Q364" t="s">
        <v>455</v>
      </c>
      <c r="R364">
        <v>200</v>
      </c>
    </row>
    <row r="365" spans="1:18" x14ac:dyDescent="0.2">
      <c r="A365" t="s">
        <v>453</v>
      </c>
      <c r="B365" t="s">
        <v>599</v>
      </c>
      <c r="C365" s="1">
        <v>44733</v>
      </c>
      <c r="D365" s="2">
        <v>0.58750000000000002</v>
      </c>
      <c r="E365" s="1">
        <v>44734</v>
      </c>
      <c r="F365" s="2">
        <v>0.4513888888888889</v>
      </c>
      <c r="G365">
        <v>54.715884000000003</v>
      </c>
      <c r="H365">
        <v>123.376908</v>
      </c>
      <c r="I365" t="s">
        <v>23</v>
      </c>
      <c r="J365">
        <v>9</v>
      </c>
      <c r="K365" t="s">
        <v>600</v>
      </c>
      <c r="L365" t="s">
        <v>24</v>
      </c>
      <c r="M365">
        <v>0</v>
      </c>
      <c r="Q365" t="s">
        <v>455</v>
      </c>
      <c r="R365">
        <v>200</v>
      </c>
    </row>
    <row r="366" spans="1:18" x14ac:dyDescent="0.2">
      <c r="A366" t="s">
        <v>453</v>
      </c>
      <c r="B366" t="s">
        <v>594</v>
      </c>
      <c r="C366" s="1">
        <v>44733</v>
      </c>
      <c r="D366" s="2">
        <v>0.57291666666666663</v>
      </c>
      <c r="E366" s="1">
        <v>44734</v>
      </c>
      <c r="F366" s="2">
        <v>0.42708333333333331</v>
      </c>
      <c r="G366">
        <v>54.714975000000003</v>
      </c>
      <c r="H366">
        <v>123.382176</v>
      </c>
      <c r="I366" t="s">
        <v>23</v>
      </c>
      <c r="J366">
        <v>6.9</v>
      </c>
      <c r="K366" t="s">
        <v>595</v>
      </c>
      <c r="L366" t="s">
        <v>24</v>
      </c>
      <c r="M366">
        <v>0</v>
      </c>
      <c r="Q366" t="s">
        <v>455</v>
      </c>
      <c r="R366">
        <v>200</v>
      </c>
    </row>
    <row r="367" spans="1:18" x14ac:dyDescent="0.2">
      <c r="A367" t="s">
        <v>453</v>
      </c>
      <c r="B367" t="s">
        <v>605</v>
      </c>
      <c r="C367" s="1">
        <v>44733</v>
      </c>
      <c r="D367" s="2">
        <v>0.59444444444444444</v>
      </c>
      <c r="E367" s="1">
        <v>44734</v>
      </c>
      <c r="F367" s="2">
        <v>0.46388888888888885</v>
      </c>
      <c r="G367">
        <v>54.720464</v>
      </c>
      <c r="H367">
        <v>123.354328</v>
      </c>
      <c r="I367" t="s">
        <v>23</v>
      </c>
      <c r="J367">
        <v>10.1</v>
      </c>
      <c r="L367" t="s">
        <v>24</v>
      </c>
      <c r="M367">
        <v>0</v>
      </c>
      <c r="Q367" t="s">
        <v>455</v>
      </c>
      <c r="R367">
        <v>200</v>
      </c>
    </row>
    <row r="368" spans="1:18" x14ac:dyDescent="0.2">
      <c r="A368" t="s">
        <v>453</v>
      </c>
      <c r="B368" t="s">
        <v>609</v>
      </c>
      <c r="C368" s="1">
        <v>44733</v>
      </c>
      <c r="D368" s="2">
        <v>0.61249999999999993</v>
      </c>
      <c r="E368" s="1">
        <v>44734</v>
      </c>
      <c r="F368" s="2">
        <v>0.48680555555555555</v>
      </c>
      <c r="G368">
        <v>54.723815000000002</v>
      </c>
      <c r="H368">
        <v>123.347469</v>
      </c>
      <c r="I368" t="s">
        <v>23</v>
      </c>
      <c r="J368">
        <v>9.5</v>
      </c>
      <c r="L368" t="s">
        <v>24</v>
      </c>
      <c r="M368">
        <v>0</v>
      </c>
      <c r="Q368" t="s">
        <v>455</v>
      </c>
      <c r="R368">
        <v>200</v>
      </c>
    </row>
    <row r="369" spans="1:18" x14ac:dyDescent="0.2">
      <c r="A369" t="s">
        <v>453</v>
      </c>
      <c r="B369" t="s">
        <v>598</v>
      </c>
      <c r="C369" s="1">
        <v>44733</v>
      </c>
      <c r="D369" s="2">
        <v>0.58402777777777781</v>
      </c>
      <c r="E369" s="1">
        <v>44734</v>
      </c>
      <c r="F369" s="2">
        <v>0.45</v>
      </c>
      <c r="G369">
        <v>54.710016000000003</v>
      </c>
      <c r="H369">
        <v>123.373192</v>
      </c>
      <c r="I369" t="s">
        <v>23</v>
      </c>
      <c r="J369">
        <v>3.4</v>
      </c>
      <c r="K369" t="s">
        <v>402</v>
      </c>
      <c r="L369" t="s">
        <v>24</v>
      </c>
      <c r="M369">
        <v>0</v>
      </c>
      <c r="Q369" t="s">
        <v>455</v>
      </c>
      <c r="R369">
        <v>200</v>
      </c>
    </row>
    <row r="370" spans="1:18" x14ac:dyDescent="0.2">
      <c r="A370" t="s">
        <v>453</v>
      </c>
      <c r="B370" t="s">
        <v>579</v>
      </c>
      <c r="C370" s="1">
        <v>44733</v>
      </c>
      <c r="D370" s="2">
        <v>0.52361111111111114</v>
      </c>
      <c r="E370" s="1">
        <v>44734</v>
      </c>
      <c r="F370" s="2">
        <v>0.37222222222222223</v>
      </c>
      <c r="G370">
        <v>54.753005999999999</v>
      </c>
      <c r="H370">
        <v>123.35715999999999</v>
      </c>
      <c r="I370" t="s">
        <v>23</v>
      </c>
      <c r="J370">
        <v>8.3000000000000007</v>
      </c>
      <c r="K370">
        <v>10.3</v>
      </c>
      <c r="L370" t="s">
        <v>439</v>
      </c>
      <c r="M370">
        <v>3</v>
      </c>
      <c r="Q370" t="s">
        <v>455</v>
      </c>
      <c r="R370">
        <v>200</v>
      </c>
    </row>
    <row r="371" spans="1:18" x14ac:dyDescent="0.2">
      <c r="A371" t="s">
        <v>453</v>
      </c>
      <c r="B371" t="s">
        <v>631</v>
      </c>
      <c r="C371" s="1">
        <v>44734</v>
      </c>
      <c r="D371" s="2">
        <v>0.59166666666666667</v>
      </c>
      <c r="E371" s="1">
        <v>44735</v>
      </c>
      <c r="F371" s="2">
        <v>0.50624999999999998</v>
      </c>
      <c r="G371">
        <v>54.771864000000001</v>
      </c>
      <c r="H371">
        <v>123.267804</v>
      </c>
      <c r="I371" t="s">
        <v>23</v>
      </c>
      <c r="J371">
        <v>10</v>
      </c>
      <c r="L371" t="s">
        <v>24</v>
      </c>
      <c r="M371">
        <v>0</v>
      </c>
      <c r="Q371" t="s">
        <v>455</v>
      </c>
      <c r="R371">
        <v>150</v>
      </c>
    </row>
    <row r="372" spans="1:18" x14ac:dyDescent="0.2">
      <c r="A372" t="s">
        <v>453</v>
      </c>
      <c r="B372" t="s">
        <v>614</v>
      </c>
      <c r="C372" s="1">
        <v>44734</v>
      </c>
      <c r="D372" s="2">
        <v>0.53819444444444442</v>
      </c>
      <c r="E372" s="1">
        <v>44735</v>
      </c>
      <c r="F372" s="2">
        <v>0.41111111111111115</v>
      </c>
      <c r="G372">
        <v>54.729607999999999</v>
      </c>
      <c r="H372">
        <v>123.304222</v>
      </c>
      <c r="I372" t="s">
        <v>23</v>
      </c>
      <c r="J372">
        <v>9.9</v>
      </c>
      <c r="K372">
        <v>8.9</v>
      </c>
      <c r="L372" t="s">
        <v>24</v>
      </c>
      <c r="M372">
        <v>0</v>
      </c>
      <c r="Q372" t="s">
        <v>455</v>
      </c>
      <c r="R372">
        <v>200</v>
      </c>
    </row>
    <row r="373" spans="1:18" x14ac:dyDescent="0.2">
      <c r="A373" t="s">
        <v>453</v>
      </c>
      <c r="B373" t="s">
        <v>629</v>
      </c>
      <c r="C373" s="1">
        <v>44734</v>
      </c>
      <c r="D373" s="2">
        <v>0.58124999999999993</v>
      </c>
      <c r="E373" s="1">
        <v>44735</v>
      </c>
      <c r="F373" s="2">
        <v>0.5</v>
      </c>
      <c r="G373">
        <v>54.783715000000001</v>
      </c>
      <c r="H373">
        <v>123.246385</v>
      </c>
      <c r="I373" t="s">
        <v>23</v>
      </c>
      <c r="J373">
        <v>9.5</v>
      </c>
      <c r="L373" t="s">
        <v>439</v>
      </c>
      <c r="M373">
        <v>5</v>
      </c>
      <c r="Q373" t="s">
        <v>455</v>
      </c>
      <c r="R373">
        <v>200</v>
      </c>
    </row>
    <row r="374" spans="1:18" x14ac:dyDescent="0.2">
      <c r="A374" t="s">
        <v>453</v>
      </c>
      <c r="B374" t="s">
        <v>630</v>
      </c>
      <c r="C374" s="1">
        <v>44734</v>
      </c>
      <c r="D374" s="2">
        <v>0.58611111111111114</v>
      </c>
      <c r="E374" s="1">
        <v>44735</v>
      </c>
      <c r="F374" s="2">
        <v>0.50277777777777777</v>
      </c>
      <c r="G374">
        <v>54.784486999999999</v>
      </c>
      <c r="H374">
        <v>123.248986</v>
      </c>
      <c r="I374" t="s">
        <v>23</v>
      </c>
      <c r="J374">
        <v>10</v>
      </c>
      <c r="L374" t="s">
        <v>439</v>
      </c>
      <c r="M374">
        <v>4</v>
      </c>
      <c r="Q374" t="s">
        <v>455</v>
      </c>
      <c r="R374">
        <v>200</v>
      </c>
    </row>
    <row r="375" spans="1:18" x14ac:dyDescent="0.2">
      <c r="A375" t="s">
        <v>453</v>
      </c>
      <c r="B375" t="s">
        <v>613</v>
      </c>
      <c r="C375" s="1">
        <v>44734</v>
      </c>
      <c r="D375" s="2">
        <v>0.53125</v>
      </c>
      <c r="E375" s="1">
        <v>44735</v>
      </c>
      <c r="F375" s="2">
        <v>0.40625</v>
      </c>
      <c r="G375">
        <v>54.727440000000001</v>
      </c>
      <c r="H375">
        <v>123.311246</v>
      </c>
      <c r="I375" t="s">
        <v>23</v>
      </c>
      <c r="J375">
        <v>9.8000000000000007</v>
      </c>
      <c r="K375">
        <v>8.9</v>
      </c>
      <c r="L375" t="s">
        <v>117</v>
      </c>
      <c r="M375">
        <v>1</v>
      </c>
      <c r="Q375" t="s">
        <v>455</v>
      </c>
      <c r="R375">
        <v>150</v>
      </c>
    </row>
    <row r="376" spans="1:18" x14ac:dyDescent="0.2">
      <c r="A376" t="s">
        <v>453</v>
      </c>
      <c r="B376" t="s">
        <v>625</v>
      </c>
      <c r="C376" s="1">
        <v>44734</v>
      </c>
      <c r="D376" s="2">
        <v>0.55902777777777779</v>
      </c>
      <c r="E376" s="1">
        <v>44735</v>
      </c>
      <c r="F376" s="2">
        <v>0.4777777777777778</v>
      </c>
      <c r="G376">
        <v>54.753390000000003</v>
      </c>
      <c r="H376">
        <v>123.279324</v>
      </c>
      <c r="I376" t="s">
        <v>23</v>
      </c>
      <c r="J376">
        <v>10</v>
      </c>
      <c r="L376" t="s">
        <v>439</v>
      </c>
      <c r="M376">
        <v>2</v>
      </c>
      <c r="Q376" t="s">
        <v>455</v>
      </c>
      <c r="R376">
        <v>150</v>
      </c>
    </row>
    <row r="377" spans="1:18" x14ac:dyDescent="0.2">
      <c r="A377" t="s">
        <v>453</v>
      </c>
      <c r="B377" t="s">
        <v>637</v>
      </c>
      <c r="C377" s="1">
        <v>44734</v>
      </c>
      <c r="D377" s="2">
        <v>0.61458333333333337</v>
      </c>
      <c r="E377" s="1">
        <v>44735</v>
      </c>
      <c r="F377" s="2">
        <v>0.53263888888888888</v>
      </c>
      <c r="G377">
        <v>54.760173999999999</v>
      </c>
      <c r="H377">
        <v>123.314115</v>
      </c>
      <c r="I377" t="s">
        <v>23</v>
      </c>
      <c r="J377">
        <v>9.9</v>
      </c>
      <c r="L377" t="s">
        <v>24</v>
      </c>
      <c r="M377">
        <v>0</v>
      </c>
      <c r="Q377" t="s">
        <v>455</v>
      </c>
      <c r="R377">
        <v>150</v>
      </c>
    </row>
    <row r="378" spans="1:18" x14ac:dyDescent="0.2">
      <c r="A378" t="s">
        <v>453</v>
      </c>
      <c r="B378" t="s">
        <v>658</v>
      </c>
      <c r="C378" s="1">
        <v>44735</v>
      </c>
      <c r="D378" s="2">
        <v>0.63472222222222219</v>
      </c>
      <c r="E378" s="1">
        <v>44736</v>
      </c>
      <c r="F378" s="2">
        <v>0.42777777777777781</v>
      </c>
      <c r="G378">
        <v>54.807353999999997</v>
      </c>
      <c r="H378">
        <v>123.32380999999999</v>
      </c>
      <c r="I378" t="s">
        <v>23</v>
      </c>
      <c r="J378">
        <v>9.6</v>
      </c>
      <c r="L378" t="s">
        <v>24</v>
      </c>
      <c r="M378">
        <v>0</v>
      </c>
      <c r="Q378" t="s">
        <v>455</v>
      </c>
      <c r="R378">
        <v>250</v>
      </c>
    </row>
    <row r="379" spans="1:18" x14ac:dyDescent="0.2">
      <c r="A379" t="s">
        <v>453</v>
      </c>
      <c r="B379" t="s">
        <v>652</v>
      </c>
      <c r="C379" s="1">
        <v>44735</v>
      </c>
      <c r="D379" s="2">
        <v>0.60833333333333328</v>
      </c>
      <c r="E379" s="1">
        <v>44736</v>
      </c>
      <c r="F379" s="2">
        <v>0.39999999999999997</v>
      </c>
      <c r="G379">
        <v>54.799109000000001</v>
      </c>
      <c r="H379">
        <v>123.33062200000001</v>
      </c>
      <c r="I379" t="s">
        <v>23</v>
      </c>
      <c r="J379">
        <v>8.8000000000000007</v>
      </c>
      <c r="L379" t="s">
        <v>24</v>
      </c>
      <c r="M379">
        <v>0</v>
      </c>
      <c r="Q379" t="s">
        <v>455</v>
      </c>
      <c r="R379">
        <v>250</v>
      </c>
    </row>
    <row r="380" spans="1:18" x14ac:dyDescent="0.2">
      <c r="A380" t="s">
        <v>453</v>
      </c>
      <c r="B380" t="s">
        <v>662</v>
      </c>
      <c r="C380" s="1">
        <v>44735</v>
      </c>
      <c r="D380" s="2">
        <v>0.65416666666666667</v>
      </c>
      <c r="E380" s="1">
        <v>44736</v>
      </c>
      <c r="F380" s="2">
        <v>0.44513888888888892</v>
      </c>
      <c r="G380">
        <v>54.806145999999998</v>
      </c>
      <c r="H380">
        <v>123.35393500000001</v>
      </c>
      <c r="I380" t="s">
        <v>23</v>
      </c>
      <c r="J380">
        <v>7.4</v>
      </c>
      <c r="L380" t="s">
        <v>24</v>
      </c>
      <c r="M380">
        <v>0</v>
      </c>
      <c r="Q380" t="s">
        <v>455</v>
      </c>
      <c r="R380">
        <v>250</v>
      </c>
    </row>
    <row r="381" spans="1:18" x14ac:dyDescent="0.2">
      <c r="A381" t="s">
        <v>453</v>
      </c>
      <c r="B381" t="s">
        <v>660</v>
      </c>
      <c r="C381" s="1">
        <v>44735</v>
      </c>
      <c r="D381" s="2">
        <v>0.64444444444444449</v>
      </c>
      <c r="E381" s="1">
        <v>44736</v>
      </c>
      <c r="F381" s="2">
        <v>0.4381944444444445</v>
      </c>
      <c r="G381">
        <v>54.798799000000002</v>
      </c>
      <c r="H381">
        <v>123.356824</v>
      </c>
      <c r="I381" t="s">
        <v>23</v>
      </c>
      <c r="J381">
        <v>9.3000000000000007</v>
      </c>
      <c r="L381" t="s">
        <v>24</v>
      </c>
      <c r="M381">
        <v>0</v>
      </c>
      <c r="Q381" t="s">
        <v>455</v>
      </c>
      <c r="R381">
        <v>250</v>
      </c>
    </row>
    <row r="382" spans="1:18" x14ac:dyDescent="0.2">
      <c r="A382" t="s">
        <v>453</v>
      </c>
      <c r="B382" t="s">
        <v>661</v>
      </c>
      <c r="C382" s="1">
        <v>44735</v>
      </c>
      <c r="D382" s="2">
        <v>0.64861111111111114</v>
      </c>
      <c r="E382" s="1">
        <v>44736</v>
      </c>
      <c r="F382" s="2">
        <v>0.44097222222222227</v>
      </c>
      <c r="G382">
        <v>54.803266000000001</v>
      </c>
      <c r="H382">
        <v>123.34796</v>
      </c>
      <c r="I382" t="s">
        <v>23</v>
      </c>
      <c r="J382">
        <v>9.3000000000000007</v>
      </c>
      <c r="L382" t="s">
        <v>24</v>
      </c>
      <c r="M382">
        <v>0</v>
      </c>
      <c r="Q382" t="s">
        <v>455</v>
      </c>
      <c r="R382">
        <v>250</v>
      </c>
    </row>
    <row r="383" spans="1:18" x14ac:dyDescent="0.2">
      <c r="A383" t="s">
        <v>453</v>
      </c>
      <c r="B383" t="s">
        <v>643</v>
      </c>
      <c r="C383" s="1">
        <v>44735</v>
      </c>
      <c r="D383" s="2">
        <v>0.5805555555555556</v>
      </c>
      <c r="E383" s="1">
        <v>44736</v>
      </c>
      <c r="F383" s="2">
        <v>0.37083333333333335</v>
      </c>
      <c r="G383">
        <v>54.781216000000001</v>
      </c>
      <c r="H383">
        <v>123.33203399999999</v>
      </c>
      <c r="I383" t="s">
        <v>23</v>
      </c>
      <c r="J383">
        <v>9</v>
      </c>
      <c r="L383" t="s">
        <v>439</v>
      </c>
      <c r="M383">
        <v>1</v>
      </c>
      <c r="Q383" t="s">
        <v>455</v>
      </c>
      <c r="R383">
        <v>250</v>
      </c>
    </row>
    <row r="384" spans="1:18" x14ac:dyDescent="0.2">
      <c r="A384" t="s">
        <v>453</v>
      </c>
      <c r="B384" t="s">
        <v>659</v>
      </c>
      <c r="C384" s="1">
        <v>44735</v>
      </c>
      <c r="D384" s="2">
        <v>0.63958333333333328</v>
      </c>
      <c r="E384" s="1">
        <v>44736</v>
      </c>
      <c r="F384" s="2">
        <v>0.43472222222222223</v>
      </c>
      <c r="G384">
        <v>54.797677</v>
      </c>
      <c r="H384">
        <v>123.36540100000001</v>
      </c>
      <c r="I384" t="s">
        <v>23</v>
      </c>
      <c r="J384">
        <v>9.1</v>
      </c>
      <c r="L384" t="s">
        <v>24</v>
      </c>
      <c r="M384">
        <v>0</v>
      </c>
      <c r="Q384" t="s">
        <v>455</v>
      </c>
      <c r="R384">
        <v>250</v>
      </c>
    </row>
    <row r="385" spans="1:18" x14ac:dyDescent="0.2">
      <c r="A385" t="s">
        <v>453</v>
      </c>
      <c r="B385" t="s">
        <v>649</v>
      </c>
      <c r="C385" s="1">
        <v>44735</v>
      </c>
      <c r="D385" s="2">
        <v>0.59791666666666665</v>
      </c>
      <c r="E385" s="1">
        <v>44736</v>
      </c>
      <c r="F385" s="2">
        <v>0.39027777777777778</v>
      </c>
      <c r="G385">
        <v>54.793256999999997</v>
      </c>
      <c r="H385">
        <v>123.333647</v>
      </c>
      <c r="I385" t="s">
        <v>23</v>
      </c>
      <c r="J385">
        <v>8.6999999999999993</v>
      </c>
      <c r="L385" t="s">
        <v>24</v>
      </c>
      <c r="M385">
        <v>0</v>
      </c>
      <c r="Q385" t="s">
        <v>455</v>
      </c>
      <c r="R385">
        <v>250</v>
      </c>
    </row>
    <row r="386" spans="1:18" x14ac:dyDescent="0.2">
      <c r="A386" t="s">
        <v>453</v>
      </c>
      <c r="B386" t="s">
        <v>653</v>
      </c>
      <c r="C386" s="1">
        <v>44735</v>
      </c>
      <c r="D386" s="2">
        <v>0.61319444444444449</v>
      </c>
      <c r="E386" s="1">
        <v>44736</v>
      </c>
      <c r="F386" s="2">
        <v>0.40277777777777773</v>
      </c>
      <c r="G386">
        <v>54.797811000000003</v>
      </c>
      <c r="H386">
        <v>123.32592200000001</v>
      </c>
      <c r="I386" t="s">
        <v>23</v>
      </c>
      <c r="J386">
        <v>7.5</v>
      </c>
      <c r="L386" t="s">
        <v>24</v>
      </c>
      <c r="M386">
        <v>0</v>
      </c>
      <c r="Q386" t="s">
        <v>455</v>
      </c>
      <c r="R386">
        <v>250</v>
      </c>
    </row>
    <row r="387" spans="1:18" x14ac:dyDescent="0.2">
      <c r="A387" t="s">
        <v>453</v>
      </c>
      <c r="B387" t="s">
        <v>650</v>
      </c>
      <c r="C387" s="1">
        <v>44735</v>
      </c>
      <c r="D387" s="2">
        <v>0.6020833333333333</v>
      </c>
      <c r="E387" s="1">
        <v>44736</v>
      </c>
      <c r="F387" s="2">
        <v>0.39374999999999999</v>
      </c>
      <c r="G387">
        <v>54.795259999999999</v>
      </c>
      <c r="H387">
        <v>123.331637</v>
      </c>
      <c r="I387" t="s">
        <v>23</v>
      </c>
      <c r="J387">
        <v>8.1999999999999993</v>
      </c>
      <c r="L387" t="s">
        <v>24</v>
      </c>
      <c r="M387">
        <v>0</v>
      </c>
      <c r="Q387" t="s">
        <v>455</v>
      </c>
      <c r="R387">
        <v>250</v>
      </c>
    </row>
    <row r="388" spans="1:18" x14ac:dyDescent="0.2">
      <c r="A388" t="s">
        <v>453</v>
      </c>
      <c r="B388" t="s">
        <v>651</v>
      </c>
      <c r="C388" s="1">
        <v>44735</v>
      </c>
      <c r="D388" s="2">
        <v>0.60486111111111118</v>
      </c>
      <c r="E388" s="1">
        <v>44736</v>
      </c>
      <c r="F388" s="2">
        <v>0.3972222222222222</v>
      </c>
      <c r="G388">
        <v>54.794778999999998</v>
      </c>
      <c r="H388">
        <v>123.334225</v>
      </c>
      <c r="I388" t="s">
        <v>23</v>
      </c>
      <c r="J388">
        <v>8.6</v>
      </c>
      <c r="L388" t="s">
        <v>24</v>
      </c>
      <c r="M388">
        <v>0</v>
      </c>
      <c r="Q388" t="s">
        <v>455</v>
      </c>
      <c r="R388">
        <v>200</v>
      </c>
    </row>
    <row r="389" spans="1:18" x14ac:dyDescent="0.2">
      <c r="A389" t="s">
        <v>453</v>
      </c>
      <c r="B389" t="s">
        <v>663</v>
      </c>
      <c r="C389" s="1">
        <v>44735</v>
      </c>
      <c r="D389" s="2">
        <v>0.65625</v>
      </c>
      <c r="E389" s="1">
        <v>44736</v>
      </c>
      <c r="F389" s="2">
        <v>0.44930555555555557</v>
      </c>
      <c r="G389">
        <v>54.811974999999997</v>
      </c>
      <c r="H389">
        <v>123.351388</v>
      </c>
      <c r="I389" t="s">
        <v>23</v>
      </c>
      <c r="J389">
        <v>9.6</v>
      </c>
      <c r="L389" t="s">
        <v>24</v>
      </c>
      <c r="M389">
        <v>0</v>
      </c>
      <c r="Q389" t="s">
        <v>455</v>
      </c>
      <c r="R389">
        <v>250</v>
      </c>
    </row>
    <row r="390" spans="1:18" x14ac:dyDescent="0.2">
      <c r="A390" t="s">
        <v>453</v>
      </c>
      <c r="B390" t="s">
        <v>656</v>
      </c>
      <c r="C390" s="1">
        <v>44735</v>
      </c>
      <c r="D390" s="2">
        <v>0.62708333333333333</v>
      </c>
      <c r="E390" s="1">
        <v>44736</v>
      </c>
      <c r="F390" s="2">
        <v>0.41666666666666669</v>
      </c>
      <c r="G390">
        <v>54.799528000000002</v>
      </c>
      <c r="H390">
        <v>123.340198</v>
      </c>
      <c r="I390" t="s">
        <v>23</v>
      </c>
      <c r="J390">
        <v>9.4</v>
      </c>
      <c r="L390" t="s">
        <v>439</v>
      </c>
      <c r="M390">
        <v>1</v>
      </c>
      <c r="Q390" t="s">
        <v>455</v>
      </c>
      <c r="R390">
        <v>200</v>
      </c>
    </row>
    <row r="391" spans="1:18" x14ac:dyDescent="0.2">
      <c r="A391" t="s">
        <v>453</v>
      </c>
      <c r="B391" t="s">
        <v>644</v>
      </c>
      <c r="C391" s="1">
        <v>44735</v>
      </c>
      <c r="D391" s="2">
        <v>0.58472222222222225</v>
      </c>
      <c r="E391" s="1">
        <v>44736</v>
      </c>
      <c r="F391" s="2">
        <v>0.375</v>
      </c>
      <c r="G391">
        <v>54.785696000000002</v>
      </c>
      <c r="H391">
        <v>123.312253</v>
      </c>
      <c r="I391" t="s">
        <v>23</v>
      </c>
      <c r="J391">
        <v>8.9</v>
      </c>
      <c r="L391" t="s">
        <v>24</v>
      </c>
      <c r="M391">
        <v>0</v>
      </c>
      <c r="Q391" t="s">
        <v>455</v>
      </c>
      <c r="R391">
        <v>250</v>
      </c>
    </row>
    <row r="392" spans="1:18" x14ac:dyDescent="0.2">
      <c r="A392" t="s">
        <v>453</v>
      </c>
      <c r="B392" t="s">
        <v>669</v>
      </c>
      <c r="C392" s="1">
        <v>44858</v>
      </c>
      <c r="D392" s="2">
        <v>0.65833333333333333</v>
      </c>
      <c r="E392" s="1">
        <v>44859</v>
      </c>
      <c r="F392" s="2">
        <v>0.42430555555555555</v>
      </c>
      <c r="G392">
        <v>54.761733</v>
      </c>
      <c r="H392">
        <v>123.39971</v>
      </c>
      <c r="I392" t="s">
        <v>23</v>
      </c>
      <c r="J392">
        <v>10</v>
      </c>
      <c r="L392" t="s">
        <v>24</v>
      </c>
      <c r="M392">
        <v>0</v>
      </c>
      <c r="Q392" t="s">
        <v>455</v>
      </c>
      <c r="R392">
        <v>100</v>
      </c>
    </row>
    <row r="393" spans="1:18" x14ac:dyDescent="0.2">
      <c r="A393" t="s">
        <v>453</v>
      </c>
      <c r="B393" t="s">
        <v>665</v>
      </c>
      <c r="C393" s="1">
        <v>44858</v>
      </c>
      <c r="D393" s="2">
        <v>0.6333333333333333</v>
      </c>
      <c r="E393" s="1">
        <v>44859</v>
      </c>
      <c r="F393" s="2">
        <v>0.40069444444444446</v>
      </c>
      <c r="G393">
        <v>54.760111000000002</v>
      </c>
      <c r="H393">
        <v>123.382069</v>
      </c>
      <c r="I393" t="s">
        <v>23</v>
      </c>
      <c r="J393">
        <v>4.4000000000000004</v>
      </c>
      <c r="L393" t="s">
        <v>439</v>
      </c>
      <c r="M393">
        <v>1</v>
      </c>
      <c r="Q393" t="s">
        <v>455</v>
      </c>
      <c r="R393">
        <v>100</v>
      </c>
    </row>
    <row r="394" spans="1:18" x14ac:dyDescent="0.2">
      <c r="A394" t="s">
        <v>453</v>
      </c>
      <c r="B394" t="s">
        <v>683</v>
      </c>
      <c r="C394" s="1">
        <v>44858</v>
      </c>
      <c r="D394" s="2">
        <v>0.71666666666666667</v>
      </c>
      <c r="E394" s="1">
        <v>44859</v>
      </c>
      <c r="F394" s="2">
        <v>0.49861111111111112</v>
      </c>
      <c r="G394">
        <v>54.782944999999998</v>
      </c>
      <c r="H394">
        <v>123.37662899999999</v>
      </c>
      <c r="I394" t="s">
        <v>23</v>
      </c>
      <c r="J394">
        <v>9.1</v>
      </c>
      <c r="L394" t="s">
        <v>24</v>
      </c>
      <c r="M394">
        <v>0</v>
      </c>
      <c r="O394" s="9"/>
      <c r="P394" s="9"/>
      <c r="Q394" t="s">
        <v>455</v>
      </c>
      <c r="R394">
        <v>100</v>
      </c>
    </row>
    <row r="395" spans="1:18" x14ac:dyDescent="0.2">
      <c r="A395" t="s">
        <v>453</v>
      </c>
      <c r="B395" t="s">
        <v>667</v>
      </c>
      <c r="C395" s="1">
        <v>44858</v>
      </c>
      <c r="D395" s="2">
        <v>0.65277777777777779</v>
      </c>
      <c r="E395" s="1">
        <v>44859</v>
      </c>
      <c r="F395" s="2">
        <v>0.4069444444444445</v>
      </c>
      <c r="G395">
        <v>54.772723999999997</v>
      </c>
      <c r="H395">
        <v>123.40274700000001</v>
      </c>
      <c r="I395" t="s">
        <v>23</v>
      </c>
      <c r="J395">
        <v>5</v>
      </c>
      <c r="L395" t="s">
        <v>117</v>
      </c>
      <c r="M395">
        <v>3</v>
      </c>
      <c r="Q395" t="s">
        <v>455</v>
      </c>
      <c r="R395">
        <v>100</v>
      </c>
    </row>
    <row r="396" spans="1:18" x14ac:dyDescent="0.2">
      <c r="A396" t="s">
        <v>453</v>
      </c>
      <c r="B396" t="s">
        <v>676</v>
      </c>
      <c r="C396" s="1">
        <v>44858</v>
      </c>
      <c r="D396" s="2">
        <v>0.6875</v>
      </c>
      <c r="E396" s="1">
        <v>44859</v>
      </c>
      <c r="F396" s="2">
        <v>0.45069444444444445</v>
      </c>
      <c r="G396">
        <v>54.776076000000003</v>
      </c>
      <c r="H396">
        <v>123.420886</v>
      </c>
      <c r="I396" t="s">
        <v>23</v>
      </c>
      <c r="J396">
        <v>3.6</v>
      </c>
      <c r="L396" t="s">
        <v>439</v>
      </c>
      <c r="M396">
        <v>1</v>
      </c>
      <c r="Q396" t="s">
        <v>455</v>
      </c>
      <c r="R396">
        <v>100</v>
      </c>
    </row>
    <row r="397" spans="1:18" x14ac:dyDescent="0.2">
      <c r="A397" t="s">
        <v>453</v>
      </c>
      <c r="B397" t="s">
        <v>678</v>
      </c>
      <c r="C397" s="1">
        <v>44858</v>
      </c>
      <c r="D397" s="2">
        <v>0.7006944444444444</v>
      </c>
      <c r="E397" s="1">
        <v>44859</v>
      </c>
      <c r="F397" s="2">
        <v>0.47916666666666669</v>
      </c>
      <c r="G397">
        <v>54.777712999999999</v>
      </c>
      <c r="H397">
        <v>123.40413100000001</v>
      </c>
      <c r="I397" t="s">
        <v>23</v>
      </c>
      <c r="J397">
        <v>9.6999999999999993</v>
      </c>
      <c r="L397" t="s">
        <v>24</v>
      </c>
      <c r="M397">
        <v>0</v>
      </c>
      <c r="Q397" t="s">
        <v>455</v>
      </c>
      <c r="R397">
        <v>100</v>
      </c>
    </row>
    <row r="398" spans="1:18" x14ac:dyDescent="0.2">
      <c r="A398" t="s">
        <v>453</v>
      </c>
      <c r="B398" t="s">
        <v>677</v>
      </c>
      <c r="C398" s="1">
        <v>44858</v>
      </c>
      <c r="D398" s="2">
        <v>0.69236111111111109</v>
      </c>
      <c r="E398" s="1">
        <v>44859</v>
      </c>
      <c r="F398" s="2">
        <v>0.45555555555555555</v>
      </c>
      <c r="G398">
        <v>54.786600999999997</v>
      </c>
      <c r="H398">
        <v>123.404668</v>
      </c>
      <c r="I398" t="s">
        <v>23</v>
      </c>
      <c r="J398">
        <v>9.8000000000000007</v>
      </c>
      <c r="L398" t="s">
        <v>117</v>
      </c>
      <c r="M398">
        <v>1</v>
      </c>
      <c r="Q398" t="s">
        <v>455</v>
      </c>
      <c r="R398">
        <v>100</v>
      </c>
    </row>
    <row r="399" spans="1:18" x14ac:dyDescent="0.2">
      <c r="A399" t="s">
        <v>453</v>
      </c>
      <c r="B399" t="s">
        <v>675</v>
      </c>
      <c r="C399" s="1">
        <v>44858</v>
      </c>
      <c r="D399" s="2">
        <v>0.68194444444444446</v>
      </c>
      <c r="E399" s="1">
        <v>44859</v>
      </c>
      <c r="F399" s="2">
        <v>0.47152777777777777</v>
      </c>
      <c r="G399">
        <v>54.760269999999998</v>
      </c>
      <c r="H399">
        <v>123.407281</v>
      </c>
      <c r="I399" t="s">
        <v>23</v>
      </c>
      <c r="J399">
        <v>9.1999999999999993</v>
      </c>
      <c r="L399" t="s">
        <v>24</v>
      </c>
      <c r="M399">
        <v>0</v>
      </c>
      <c r="Q399" t="s">
        <v>455</v>
      </c>
      <c r="R399">
        <v>100</v>
      </c>
    </row>
    <row r="400" spans="1:18" x14ac:dyDescent="0.2">
      <c r="A400" t="s">
        <v>453</v>
      </c>
      <c r="B400" t="s">
        <v>670</v>
      </c>
      <c r="C400" s="1">
        <v>44858</v>
      </c>
      <c r="D400" s="2">
        <v>0.66111111111111109</v>
      </c>
      <c r="E400" s="1">
        <v>44859</v>
      </c>
      <c r="F400" s="2">
        <v>0.42708333333333331</v>
      </c>
      <c r="G400">
        <v>54.763655</v>
      </c>
      <c r="H400">
        <v>123.399607</v>
      </c>
      <c r="I400" t="s">
        <v>23</v>
      </c>
      <c r="J400">
        <v>7</v>
      </c>
      <c r="L400" t="s">
        <v>117</v>
      </c>
      <c r="M400">
        <v>2</v>
      </c>
      <c r="Q400" t="s">
        <v>455</v>
      </c>
      <c r="R400">
        <v>100</v>
      </c>
    </row>
    <row r="401" spans="1:18" x14ac:dyDescent="0.2">
      <c r="A401" t="s">
        <v>453</v>
      </c>
      <c r="B401" t="s">
        <v>679</v>
      </c>
      <c r="C401" s="1">
        <v>44858</v>
      </c>
      <c r="D401" s="2">
        <v>0.70763888888888893</v>
      </c>
      <c r="E401" s="1">
        <v>44859</v>
      </c>
      <c r="F401" s="2">
        <v>0.4826388888888889</v>
      </c>
      <c r="G401">
        <v>54.774442000000001</v>
      </c>
      <c r="H401">
        <v>123.38783599999999</v>
      </c>
      <c r="I401" t="s">
        <v>23</v>
      </c>
      <c r="J401">
        <v>7.1</v>
      </c>
      <c r="L401" t="s">
        <v>24</v>
      </c>
      <c r="M401">
        <v>0</v>
      </c>
      <c r="Q401" t="s">
        <v>455</v>
      </c>
      <c r="R401">
        <v>100</v>
      </c>
    </row>
    <row r="402" spans="1:18" x14ac:dyDescent="0.2">
      <c r="A402" t="s">
        <v>453</v>
      </c>
      <c r="B402" t="s">
        <v>674</v>
      </c>
      <c r="C402" s="1">
        <v>44858</v>
      </c>
      <c r="D402" s="2">
        <v>0.67638888888888893</v>
      </c>
      <c r="E402" s="1">
        <v>44859</v>
      </c>
      <c r="F402" s="2">
        <v>0.46736111111111112</v>
      </c>
      <c r="G402">
        <v>54.758234999999999</v>
      </c>
      <c r="H402">
        <v>123.403283</v>
      </c>
      <c r="I402" t="s">
        <v>23</v>
      </c>
      <c r="J402">
        <v>8.5</v>
      </c>
      <c r="L402" t="s">
        <v>117</v>
      </c>
      <c r="M402">
        <v>1</v>
      </c>
      <c r="Q402" t="s">
        <v>455</v>
      </c>
      <c r="R402">
        <v>100</v>
      </c>
    </row>
    <row r="403" spans="1:18" x14ac:dyDescent="0.2">
      <c r="A403" t="s">
        <v>453</v>
      </c>
      <c r="B403" t="s">
        <v>666</v>
      </c>
      <c r="C403" s="1">
        <v>44858</v>
      </c>
      <c r="D403" s="2">
        <v>0.64097222222222217</v>
      </c>
      <c r="E403" s="1">
        <v>44859</v>
      </c>
      <c r="F403" s="2">
        <v>0.40277777777777773</v>
      </c>
      <c r="G403">
        <v>54.759483000000003</v>
      </c>
      <c r="H403">
        <v>123.389681</v>
      </c>
      <c r="I403" t="s">
        <v>23</v>
      </c>
      <c r="J403">
        <v>8.6999999999999993</v>
      </c>
      <c r="L403" t="s">
        <v>117</v>
      </c>
      <c r="M403">
        <v>1</v>
      </c>
      <c r="Q403" t="s">
        <v>455</v>
      </c>
      <c r="R403">
        <v>100</v>
      </c>
    </row>
    <row r="404" spans="1:18" x14ac:dyDescent="0.2">
      <c r="A404" t="s">
        <v>453</v>
      </c>
      <c r="B404" t="s">
        <v>671</v>
      </c>
      <c r="C404" s="1">
        <v>44858</v>
      </c>
      <c r="D404" s="2">
        <v>0.66527777777777775</v>
      </c>
      <c r="E404" s="1">
        <v>44859</v>
      </c>
      <c r="F404" s="2">
        <v>0.42986111111111108</v>
      </c>
      <c r="G404">
        <v>54.769458999999998</v>
      </c>
      <c r="H404">
        <v>123.40612</v>
      </c>
      <c r="I404" t="s">
        <v>23</v>
      </c>
      <c r="J404">
        <v>5.6</v>
      </c>
      <c r="L404" t="s">
        <v>24</v>
      </c>
      <c r="M404">
        <v>0</v>
      </c>
      <c r="Q404" t="s">
        <v>455</v>
      </c>
      <c r="R404">
        <v>100</v>
      </c>
    </row>
    <row r="405" spans="1:18" x14ac:dyDescent="0.2">
      <c r="A405" t="s">
        <v>453</v>
      </c>
      <c r="B405" t="s">
        <v>684</v>
      </c>
      <c r="C405" s="1">
        <v>44858</v>
      </c>
      <c r="D405" s="2">
        <v>0.71944444444444444</v>
      </c>
      <c r="E405" s="1">
        <v>44859</v>
      </c>
      <c r="F405" s="2">
        <v>0.50694444444444442</v>
      </c>
      <c r="G405">
        <v>54.782364000000001</v>
      </c>
      <c r="H405">
        <v>123.37352300000001</v>
      </c>
      <c r="I405" t="s">
        <v>23</v>
      </c>
      <c r="J405">
        <v>9</v>
      </c>
      <c r="L405" t="s">
        <v>24</v>
      </c>
      <c r="M405">
        <v>0</v>
      </c>
      <c r="Q405" t="s">
        <v>455</v>
      </c>
      <c r="R405">
        <v>100</v>
      </c>
    </row>
    <row r="406" spans="1:18" x14ac:dyDescent="0.2">
      <c r="A406" t="s">
        <v>453</v>
      </c>
      <c r="B406" t="s">
        <v>697</v>
      </c>
      <c r="C406" s="1">
        <v>44859</v>
      </c>
      <c r="D406" s="2">
        <v>0.56388888888888888</v>
      </c>
      <c r="E406" s="1">
        <v>44860</v>
      </c>
      <c r="F406" s="2">
        <v>0.41111111111111115</v>
      </c>
      <c r="G406">
        <v>54.719161</v>
      </c>
      <c r="H406">
        <v>123.378552</v>
      </c>
      <c r="I406" t="s">
        <v>23</v>
      </c>
      <c r="J406">
        <v>9</v>
      </c>
      <c r="L406" t="s">
        <v>117</v>
      </c>
      <c r="M406">
        <v>4</v>
      </c>
      <c r="Q406" t="s">
        <v>415</v>
      </c>
      <c r="R406">
        <v>150</v>
      </c>
    </row>
    <row r="407" spans="1:18" x14ac:dyDescent="0.2">
      <c r="A407" t="s">
        <v>453</v>
      </c>
      <c r="B407" t="s">
        <v>685</v>
      </c>
      <c r="C407" s="1">
        <v>44859</v>
      </c>
      <c r="D407" s="2">
        <v>0.52638888888888891</v>
      </c>
      <c r="E407" s="1">
        <v>44860</v>
      </c>
      <c r="F407" s="2">
        <v>0.37152777777777773</v>
      </c>
      <c r="G407">
        <v>54.727237000000002</v>
      </c>
      <c r="H407">
        <v>123.321819</v>
      </c>
      <c r="I407" t="s">
        <v>23</v>
      </c>
      <c r="J407">
        <v>5</v>
      </c>
      <c r="L407" t="s">
        <v>117</v>
      </c>
      <c r="M407">
        <v>1</v>
      </c>
      <c r="Q407" t="s">
        <v>415</v>
      </c>
      <c r="R407">
        <v>150</v>
      </c>
    </row>
    <row r="408" spans="1:18" x14ac:dyDescent="0.2">
      <c r="A408" t="s">
        <v>453</v>
      </c>
      <c r="B408" t="s">
        <v>698</v>
      </c>
      <c r="C408" s="1">
        <v>44859</v>
      </c>
      <c r="D408" s="2">
        <v>0.56736111111111109</v>
      </c>
      <c r="E408" s="1">
        <v>44860</v>
      </c>
      <c r="F408" s="2">
        <v>0.41319444444444442</v>
      </c>
      <c r="G408">
        <v>54.720877999999999</v>
      </c>
      <c r="H408">
        <v>123.374602</v>
      </c>
      <c r="I408" t="s">
        <v>23</v>
      </c>
      <c r="J408">
        <v>7.2</v>
      </c>
      <c r="L408" t="s">
        <v>24</v>
      </c>
      <c r="M408">
        <v>0</v>
      </c>
      <c r="Q408" t="s">
        <v>415</v>
      </c>
      <c r="R408">
        <v>150</v>
      </c>
    </row>
    <row r="409" spans="1:18" x14ac:dyDescent="0.2">
      <c r="A409" t="s">
        <v>453</v>
      </c>
      <c r="B409" t="s">
        <v>708</v>
      </c>
      <c r="C409" s="1">
        <v>44859</v>
      </c>
      <c r="D409" s="2">
        <v>0.60277777777777775</v>
      </c>
      <c r="E409" s="1">
        <v>44860</v>
      </c>
      <c r="F409" s="2">
        <v>0.4513888888888889</v>
      </c>
      <c r="G409">
        <v>54.755876000000001</v>
      </c>
      <c r="H409">
        <v>123.353886</v>
      </c>
      <c r="I409" t="s">
        <v>23</v>
      </c>
      <c r="J409">
        <v>9.6999999999999993</v>
      </c>
      <c r="L409" t="s">
        <v>24</v>
      </c>
      <c r="M409">
        <v>0</v>
      </c>
      <c r="Q409" t="s">
        <v>415</v>
      </c>
      <c r="R409">
        <v>150</v>
      </c>
    </row>
    <row r="410" spans="1:18" x14ac:dyDescent="0.2">
      <c r="A410" t="s">
        <v>453</v>
      </c>
      <c r="B410" t="s">
        <v>701</v>
      </c>
      <c r="C410" s="1">
        <v>44859</v>
      </c>
      <c r="D410" s="2">
        <v>0.57847222222222217</v>
      </c>
      <c r="E410" s="1">
        <v>44860</v>
      </c>
      <c r="F410" s="2">
        <v>0.42291666666666666</v>
      </c>
      <c r="G410">
        <v>54.736714999999997</v>
      </c>
      <c r="H410">
        <v>123.373113</v>
      </c>
      <c r="I410" t="s">
        <v>23</v>
      </c>
      <c r="J410">
        <v>9.9</v>
      </c>
      <c r="L410" t="s">
        <v>24</v>
      </c>
      <c r="M410">
        <v>0</v>
      </c>
      <c r="Q410" t="s">
        <v>415</v>
      </c>
      <c r="R410">
        <v>150</v>
      </c>
    </row>
    <row r="411" spans="1:18" x14ac:dyDescent="0.2">
      <c r="A411" t="s">
        <v>453</v>
      </c>
      <c r="B411" t="s">
        <v>690</v>
      </c>
      <c r="C411" s="1">
        <v>44859</v>
      </c>
      <c r="D411" s="2">
        <v>0.53402777777777777</v>
      </c>
      <c r="E411" s="1">
        <v>44860</v>
      </c>
      <c r="F411" s="2">
        <v>0.38541666666666669</v>
      </c>
      <c r="G411">
        <v>54.723922000000002</v>
      </c>
      <c r="H411">
        <v>123.344359</v>
      </c>
      <c r="I411" t="s">
        <v>23</v>
      </c>
      <c r="J411">
        <v>8.3000000000000007</v>
      </c>
      <c r="L411" t="s">
        <v>691</v>
      </c>
      <c r="M411">
        <v>1</v>
      </c>
      <c r="Q411" t="s">
        <v>415</v>
      </c>
      <c r="R411">
        <v>150</v>
      </c>
    </row>
    <row r="412" spans="1:18" x14ac:dyDescent="0.2">
      <c r="A412" t="s">
        <v>453</v>
      </c>
      <c r="B412" t="s">
        <v>706</v>
      </c>
      <c r="C412" s="1">
        <v>44859</v>
      </c>
      <c r="D412" s="2">
        <v>0.59513888888888888</v>
      </c>
      <c r="E412" s="1">
        <v>44860</v>
      </c>
      <c r="F412" s="2">
        <v>0.44236111111111115</v>
      </c>
      <c r="G412">
        <v>54.76529</v>
      </c>
      <c r="H412">
        <v>123.363986</v>
      </c>
      <c r="I412" t="s">
        <v>23</v>
      </c>
      <c r="J412">
        <v>6.7</v>
      </c>
      <c r="L412" t="s">
        <v>117</v>
      </c>
      <c r="M412">
        <v>2</v>
      </c>
      <c r="Q412" t="s">
        <v>415</v>
      </c>
      <c r="R412">
        <v>150</v>
      </c>
    </row>
    <row r="413" spans="1:18" x14ac:dyDescent="0.2">
      <c r="A413" t="s">
        <v>453</v>
      </c>
      <c r="B413" t="s">
        <v>704</v>
      </c>
      <c r="C413" s="1">
        <v>44859</v>
      </c>
      <c r="D413" s="2">
        <v>0.58888888888888891</v>
      </c>
      <c r="E413" s="1">
        <v>44860</v>
      </c>
      <c r="F413" s="2">
        <v>0.43611111111111112</v>
      </c>
      <c r="G413">
        <v>54.754567000000002</v>
      </c>
      <c r="H413">
        <v>123.368459</v>
      </c>
      <c r="I413" t="s">
        <v>23</v>
      </c>
      <c r="J413">
        <v>3.5</v>
      </c>
      <c r="L413" t="s">
        <v>24</v>
      </c>
      <c r="M413">
        <v>0</v>
      </c>
      <c r="Q413" t="s">
        <v>415</v>
      </c>
      <c r="R413">
        <v>150</v>
      </c>
    </row>
    <row r="414" spans="1:18" x14ac:dyDescent="0.2">
      <c r="A414" t="s">
        <v>453</v>
      </c>
      <c r="B414" t="s">
        <v>700</v>
      </c>
      <c r="C414" s="1">
        <v>44859</v>
      </c>
      <c r="D414" s="2">
        <v>0.57500000000000007</v>
      </c>
      <c r="E414" s="1">
        <v>44860</v>
      </c>
      <c r="F414" s="2">
        <v>0.41944444444444445</v>
      </c>
      <c r="G414">
        <v>54.727348999999997</v>
      </c>
      <c r="H414">
        <v>123.37359600000001</v>
      </c>
      <c r="I414" t="s">
        <v>23</v>
      </c>
      <c r="J414">
        <v>9.9</v>
      </c>
      <c r="L414" t="s">
        <v>24</v>
      </c>
      <c r="M414">
        <v>0</v>
      </c>
      <c r="Q414" t="s">
        <v>415</v>
      </c>
      <c r="R414">
        <v>150</v>
      </c>
    </row>
    <row r="415" spans="1:18" x14ac:dyDescent="0.2">
      <c r="A415" t="s">
        <v>453</v>
      </c>
      <c r="B415" t="s">
        <v>702</v>
      </c>
      <c r="C415" s="1">
        <v>44859</v>
      </c>
      <c r="D415" s="2">
        <v>0.58194444444444449</v>
      </c>
      <c r="E415" s="1">
        <v>44860</v>
      </c>
      <c r="F415" s="2">
        <v>0.42569444444444443</v>
      </c>
      <c r="G415">
        <v>54.741531999999999</v>
      </c>
      <c r="H415">
        <v>123.37269499999999</v>
      </c>
      <c r="I415" t="s">
        <v>23</v>
      </c>
      <c r="J415">
        <v>6</v>
      </c>
      <c r="L415" t="s">
        <v>117</v>
      </c>
      <c r="M415">
        <v>1</v>
      </c>
      <c r="Q415" t="s">
        <v>415</v>
      </c>
      <c r="R415">
        <v>150</v>
      </c>
    </row>
    <row r="416" spans="1:18" x14ac:dyDescent="0.2">
      <c r="A416" t="s">
        <v>453</v>
      </c>
      <c r="B416" t="s">
        <v>692</v>
      </c>
      <c r="C416" s="1">
        <v>44859</v>
      </c>
      <c r="D416" s="2">
        <v>0.54583333333333328</v>
      </c>
      <c r="E416" s="1">
        <v>44860</v>
      </c>
      <c r="F416" s="2">
        <v>0.3888888888888889</v>
      </c>
      <c r="G416">
        <v>54.722206999999997</v>
      </c>
      <c r="H416">
        <v>123.359995</v>
      </c>
      <c r="I416" t="s">
        <v>23</v>
      </c>
      <c r="J416">
        <v>7.3</v>
      </c>
      <c r="L416" t="s">
        <v>117</v>
      </c>
      <c r="M416">
        <v>1</v>
      </c>
      <c r="Q416" t="s">
        <v>415</v>
      </c>
      <c r="R416">
        <v>150</v>
      </c>
    </row>
    <row r="417" spans="1:18" x14ac:dyDescent="0.2">
      <c r="A417" t="s">
        <v>453</v>
      </c>
      <c r="B417" t="s">
        <v>696</v>
      </c>
      <c r="C417" s="1">
        <v>44859</v>
      </c>
      <c r="D417" s="2">
        <v>0.56041666666666667</v>
      </c>
      <c r="E417" s="1">
        <v>44860</v>
      </c>
      <c r="F417" s="2">
        <v>0.40625</v>
      </c>
      <c r="G417">
        <v>54.715479999999999</v>
      </c>
      <c r="H417">
        <v>123.377201</v>
      </c>
      <c r="I417" t="s">
        <v>23</v>
      </c>
      <c r="J417">
        <v>8.4</v>
      </c>
      <c r="L417" t="s">
        <v>117</v>
      </c>
      <c r="M417">
        <v>2</v>
      </c>
      <c r="Q417" t="s">
        <v>415</v>
      </c>
      <c r="R417">
        <v>150</v>
      </c>
    </row>
    <row r="418" spans="1:18" x14ac:dyDescent="0.2">
      <c r="A418" t="s">
        <v>453</v>
      </c>
      <c r="B418" t="s">
        <v>703</v>
      </c>
      <c r="C418" s="1">
        <v>44859</v>
      </c>
      <c r="D418" s="2">
        <v>0.58611111111111114</v>
      </c>
      <c r="E418" s="1">
        <v>44860</v>
      </c>
      <c r="F418" s="2">
        <v>0.43055555555555558</v>
      </c>
      <c r="G418">
        <v>54.752439000000003</v>
      </c>
      <c r="H418">
        <v>123.366522</v>
      </c>
      <c r="I418" t="s">
        <v>23</v>
      </c>
      <c r="J418">
        <v>3.1</v>
      </c>
      <c r="L418" t="s">
        <v>24</v>
      </c>
      <c r="M418">
        <v>0</v>
      </c>
      <c r="Q418" t="s">
        <v>415</v>
      </c>
      <c r="R418">
        <v>150</v>
      </c>
    </row>
    <row r="419" spans="1:18" x14ac:dyDescent="0.2">
      <c r="A419" t="s">
        <v>453</v>
      </c>
      <c r="B419" t="s">
        <v>699</v>
      </c>
      <c r="C419" s="1">
        <v>44859</v>
      </c>
      <c r="D419" s="2">
        <v>0.5708333333333333</v>
      </c>
      <c r="E419" s="1">
        <v>44860</v>
      </c>
      <c r="F419" s="2">
        <v>0.41736111111111113</v>
      </c>
      <c r="G419">
        <v>54.727409999999999</v>
      </c>
      <c r="H419">
        <v>123.376316</v>
      </c>
      <c r="I419" t="s">
        <v>23</v>
      </c>
      <c r="J419">
        <v>8.1999999999999993</v>
      </c>
      <c r="L419" t="s">
        <v>24</v>
      </c>
      <c r="M419">
        <v>0</v>
      </c>
      <c r="Q419" t="s">
        <v>415</v>
      </c>
      <c r="R419">
        <v>150</v>
      </c>
    </row>
    <row r="420" spans="1:18" x14ac:dyDescent="0.2">
      <c r="A420" t="s">
        <v>453</v>
      </c>
      <c r="B420" t="s">
        <v>705</v>
      </c>
      <c r="C420" s="1">
        <v>44859</v>
      </c>
      <c r="D420" s="2">
        <v>0.59166666666666667</v>
      </c>
      <c r="E420" s="1">
        <v>44860</v>
      </c>
      <c r="F420" s="2">
        <v>0.43888888888888888</v>
      </c>
      <c r="G420">
        <v>54.760928</v>
      </c>
      <c r="H420">
        <v>123.372086</v>
      </c>
      <c r="I420" t="s">
        <v>23</v>
      </c>
      <c r="J420">
        <v>3.9</v>
      </c>
      <c r="L420" t="s">
        <v>117</v>
      </c>
      <c r="M420">
        <v>1</v>
      </c>
      <c r="Q420" t="s">
        <v>415</v>
      </c>
      <c r="R420">
        <v>150</v>
      </c>
    </row>
    <row r="421" spans="1:18" x14ac:dyDescent="0.2">
      <c r="A421" t="s">
        <v>453</v>
      </c>
      <c r="B421" t="s">
        <v>693</v>
      </c>
      <c r="C421" s="1">
        <v>44859</v>
      </c>
      <c r="D421" s="2">
        <v>0.55069444444444449</v>
      </c>
      <c r="E421" s="1">
        <v>44860</v>
      </c>
      <c r="F421" s="2">
        <v>0.3923611111111111</v>
      </c>
      <c r="G421">
        <v>54.720689</v>
      </c>
      <c r="H421">
        <v>123.369615</v>
      </c>
      <c r="I421" t="s">
        <v>23</v>
      </c>
      <c r="J421">
        <v>9.9</v>
      </c>
      <c r="L421" t="s">
        <v>24</v>
      </c>
      <c r="M421">
        <v>0</v>
      </c>
      <c r="Q421" t="s">
        <v>415</v>
      </c>
      <c r="R421">
        <v>150</v>
      </c>
    </row>
    <row r="422" spans="1:18" x14ac:dyDescent="0.2">
      <c r="A422" t="s">
        <v>453</v>
      </c>
      <c r="B422" t="s">
        <v>707</v>
      </c>
      <c r="C422" s="1">
        <v>44859</v>
      </c>
      <c r="D422" s="2">
        <v>0.59791666666666665</v>
      </c>
      <c r="E422" s="1">
        <v>44860</v>
      </c>
      <c r="F422" s="2">
        <v>0.4458333333333333</v>
      </c>
      <c r="G422">
        <v>54.765771000000001</v>
      </c>
      <c r="H422">
        <v>123.357956</v>
      </c>
      <c r="I422" t="s">
        <v>23</v>
      </c>
      <c r="J422">
        <v>9.4</v>
      </c>
      <c r="L422" t="s">
        <v>24</v>
      </c>
      <c r="M422">
        <v>0</v>
      </c>
      <c r="Q422" t="s">
        <v>415</v>
      </c>
      <c r="R422">
        <v>150</v>
      </c>
    </row>
    <row r="423" spans="1:18" x14ac:dyDescent="0.2">
      <c r="A423" t="s">
        <v>453</v>
      </c>
      <c r="B423" t="s">
        <v>695</v>
      </c>
      <c r="C423" s="1">
        <v>44859</v>
      </c>
      <c r="D423" s="2">
        <v>0.55833333333333335</v>
      </c>
      <c r="E423" s="1">
        <v>44860</v>
      </c>
      <c r="F423" s="2">
        <v>0.40277777777777773</v>
      </c>
      <c r="G423">
        <v>54.714221000000002</v>
      </c>
      <c r="H423">
        <v>123.368551</v>
      </c>
      <c r="I423" t="s">
        <v>23</v>
      </c>
      <c r="J423">
        <v>5.0999999999999996</v>
      </c>
      <c r="L423" t="s">
        <v>24</v>
      </c>
      <c r="M423">
        <v>0</v>
      </c>
      <c r="Q423" t="s">
        <v>415</v>
      </c>
      <c r="R423">
        <v>150</v>
      </c>
    </row>
    <row r="424" spans="1:18" x14ac:dyDescent="0.2">
      <c r="A424" t="s">
        <v>453</v>
      </c>
      <c r="B424" t="s">
        <v>709</v>
      </c>
      <c r="C424" s="1">
        <v>44860</v>
      </c>
      <c r="D424" s="2">
        <v>0.4770833333333333</v>
      </c>
      <c r="E424" s="1">
        <v>44861</v>
      </c>
      <c r="F424" s="2">
        <v>0.4152777777777778</v>
      </c>
      <c r="G424">
        <v>54.727172000000003</v>
      </c>
      <c r="H424">
        <v>123.318513</v>
      </c>
      <c r="I424" t="s">
        <v>23</v>
      </c>
      <c r="J424">
        <v>9.1999999999999993</v>
      </c>
      <c r="L424" t="s">
        <v>24</v>
      </c>
      <c r="M424">
        <v>0</v>
      </c>
      <c r="Q424" t="s">
        <v>415</v>
      </c>
      <c r="R424">
        <v>150</v>
      </c>
    </row>
    <row r="425" spans="1:18" x14ac:dyDescent="0.2">
      <c r="A425" t="s">
        <v>453</v>
      </c>
      <c r="B425" t="s">
        <v>728</v>
      </c>
      <c r="C425" s="1">
        <v>44860</v>
      </c>
      <c r="D425" s="2">
        <v>0.54166666666666663</v>
      </c>
      <c r="E425" s="1">
        <v>44861</v>
      </c>
      <c r="F425" s="2">
        <v>0.48958333333333331</v>
      </c>
      <c r="G425">
        <v>54.762915</v>
      </c>
      <c r="H425">
        <v>123.295199</v>
      </c>
      <c r="I425" t="s">
        <v>23</v>
      </c>
      <c r="J425">
        <v>8.9</v>
      </c>
      <c r="L425" t="s">
        <v>24</v>
      </c>
      <c r="M425">
        <v>0</v>
      </c>
      <c r="Q425" t="s">
        <v>415</v>
      </c>
      <c r="R425">
        <v>150</v>
      </c>
    </row>
    <row r="426" spans="1:18" x14ac:dyDescent="0.2">
      <c r="A426" t="s">
        <v>453</v>
      </c>
      <c r="B426" t="s">
        <v>726</v>
      </c>
      <c r="C426" s="1">
        <v>44860</v>
      </c>
      <c r="D426" s="2">
        <v>0.52500000000000002</v>
      </c>
      <c r="E426" s="1">
        <v>44861</v>
      </c>
      <c r="F426" s="2">
        <v>0.47916666666666669</v>
      </c>
      <c r="G426">
        <v>54.762956000000003</v>
      </c>
      <c r="H426">
        <v>123.276107</v>
      </c>
      <c r="I426" t="s">
        <v>23</v>
      </c>
      <c r="J426">
        <v>3.6</v>
      </c>
      <c r="L426" t="s">
        <v>439</v>
      </c>
      <c r="M426">
        <v>2</v>
      </c>
      <c r="Q426" t="s">
        <v>415</v>
      </c>
      <c r="R426">
        <v>150</v>
      </c>
    </row>
    <row r="427" spans="1:18" x14ac:dyDescent="0.2">
      <c r="A427" t="s">
        <v>453</v>
      </c>
      <c r="B427" t="s">
        <v>727</v>
      </c>
      <c r="C427" s="1">
        <v>44860</v>
      </c>
      <c r="D427" s="2">
        <v>0.53125</v>
      </c>
      <c r="E427" s="1">
        <v>44861</v>
      </c>
      <c r="F427" s="2">
        <v>0.4861111111111111</v>
      </c>
      <c r="G427">
        <v>54.761293999999999</v>
      </c>
      <c r="H427">
        <v>123.285045</v>
      </c>
      <c r="I427" t="s">
        <v>23</v>
      </c>
      <c r="J427">
        <v>4.5999999999999996</v>
      </c>
      <c r="L427" t="s">
        <v>24</v>
      </c>
      <c r="M427">
        <v>0</v>
      </c>
      <c r="Q427" t="s">
        <v>415</v>
      </c>
      <c r="R427">
        <v>150</v>
      </c>
    </row>
    <row r="428" spans="1:18" x14ac:dyDescent="0.2">
      <c r="A428" t="s">
        <v>453</v>
      </c>
      <c r="B428" t="s">
        <v>724</v>
      </c>
      <c r="C428" s="1">
        <v>44860</v>
      </c>
      <c r="D428" s="2">
        <v>0.52083333333333337</v>
      </c>
      <c r="E428" s="1">
        <v>44861</v>
      </c>
      <c r="F428" s="2">
        <v>0.47569444444444442</v>
      </c>
      <c r="G428">
        <v>54.761980000000001</v>
      </c>
      <c r="H428">
        <v>123.27819</v>
      </c>
      <c r="I428" t="s">
        <v>23</v>
      </c>
      <c r="J428">
        <v>7.2</v>
      </c>
      <c r="L428" t="s">
        <v>725</v>
      </c>
      <c r="M428">
        <v>1</v>
      </c>
      <c r="Q428" t="s">
        <v>415</v>
      </c>
      <c r="R428">
        <v>150</v>
      </c>
    </row>
    <row r="429" spans="1:18" x14ac:dyDescent="0.2">
      <c r="A429" t="s">
        <v>453</v>
      </c>
      <c r="B429" t="s">
        <v>717</v>
      </c>
      <c r="C429" s="1">
        <v>44860</v>
      </c>
      <c r="D429" s="2">
        <v>0.50694444444444442</v>
      </c>
      <c r="E429" s="1">
        <v>44861</v>
      </c>
      <c r="F429" s="2">
        <v>0.44861111111111113</v>
      </c>
      <c r="G429">
        <v>54.784844</v>
      </c>
      <c r="H429">
        <v>123.247288</v>
      </c>
      <c r="I429" t="s">
        <v>23</v>
      </c>
      <c r="J429">
        <v>6.1</v>
      </c>
      <c r="L429" t="s">
        <v>24</v>
      </c>
      <c r="M429">
        <v>0</v>
      </c>
      <c r="Q429" t="s">
        <v>415</v>
      </c>
      <c r="R429">
        <v>150</v>
      </c>
    </row>
    <row r="430" spans="1:18" x14ac:dyDescent="0.2">
      <c r="A430" t="s">
        <v>453</v>
      </c>
      <c r="B430" t="s">
        <v>730</v>
      </c>
      <c r="C430" s="1">
        <v>44860</v>
      </c>
      <c r="D430" s="2">
        <v>0.54861111111111105</v>
      </c>
      <c r="E430" s="1">
        <v>44861</v>
      </c>
      <c r="F430" s="2">
        <v>0.50277777777777777</v>
      </c>
      <c r="G430">
        <v>54.760942</v>
      </c>
      <c r="H430">
        <v>123.31373499999999</v>
      </c>
      <c r="I430" t="s">
        <v>23</v>
      </c>
      <c r="J430">
        <v>4.5999999999999996</v>
      </c>
      <c r="L430" t="s">
        <v>24</v>
      </c>
      <c r="M430">
        <v>0</v>
      </c>
      <c r="Q430" t="s">
        <v>415</v>
      </c>
      <c r="R430">
        <v>150</v>
      </c>
    </row>
    <row r="431" spans="1:18" x14ac:dyDescent="0.2">
      <c r="A431" t="s">
        <v>453</v>
      </c>
      <c r="B431" t="s">
        <v>718</v>
      </c>
      <c r="C431" s="1">
        <v>44860</v>
      </c>
      <c r="D431" s="2">
        <v>0.50972222222222219</v>
      </c>
      <c r="E431" s="1">
        <v>44861</v>
      </c>
      <c r="F431" s="2">
        <v>0.45277777777777778</v>
      </c>
      <c r="G431">
        <v>54.785240000000002</v>
      </c>
      <c r="H431">
        <v>123.25104</v>
      </c>
      <c r="I431" t="s">
        <v>23</v>
      </c>
      <c r="J431">
        <v>3.6</v>
      </c>
      <c r="L431" t="s">
        <v>439</v>
      </c>
      <c r="M431">
        <v>2</v>
      </c>
      <c r="Q431" t="s">
        <v>415</v>
      </c>
      <c r="R431">
        <v>150</v>
      </c>
    </row>
    <row r="432" spans="1:18" x14ac:dyDescent="0.2">
      <c r="A432" t="s">
        <v>453</v>
      </c>
      <c r="B432" t="s">
        <v>719</v>
      </c>
      <c r="C432" s="1">
        <v>44860</v>
      </c>
      <c r="D432" s="2">
        <v>0.51388888888888895</v>
      </c>
      <c r="E432" s="1">
        <v>44861</v>
      </c>
      <c r="F432" s="2">
        <v>0.45902777777777781</v>
      </c>
      <c r="G432">
        <v>54.769556999999999</v>
      </c>
      <c r="H432">
        <v>123.267538</v>
      </c>
      <c r="I432" t="s">
        <v>23</v>
      </c>
      <c r="J432">
        <v>9.6999999999999993</v>
      </c>
      <c r="L432" t="s">
        <v>439</v>
      </c>
      <c r="M432">
        <v>4</v>
      </c>
      <c r="O432" s="9"/>
      <c r="P432" s="9"/>
      <c r="Q432" t="s">
        <v>415</v>
      </c>
      <c r="R432">
        <v>150</v>
      </c>
    </row>
    <row r="433" spans="1:18" x14ac:dyDescent="0.2">
      <c r="A433" t="s">
        <v>453</v>
      </c>
      <c r="B433" t="s">
        <v>711</v>
      </c>
      <c r="C433" s="1">
        <v>44860</v>
      </c>
      <c r="D433" s="2">
        <v>0.48402777777777778</v>
      </c>
      <c r="E433" s="1">
        <v>44861</v>
      </c>
      <c r="F433" s="2">
        <v>0.42499999999999999</v>
      </c>
      <c r="G433">
        <v>54.729765999999998</v>
      </c>
      <c r="H433">
        <v>123.305021</v>
      </c>
      <c r="I433" t="s">
        <v>23</v>
      </c>
      <c r="J433">
        <v>4.9000000000000004</v>
      </c>
      <c r="L433" t="s">
        <v>24</v>
      </c>
      <c r="M433">
        <v>0</v>
      </c>
      <c r="Q433" t="s">
        <v>415</v>
      </c>
      <c r="R433">
        <v>150</v>
      </c>
    </row>
    <row r="434" spans="1:18" x14ac:dyDescent="0.2">
      <c r="A434" t="s">
        <v>453</v>
      </c>
      <c r="B434" t="s">
        <v>716</v>
      </c>
      <c r="C434" s="1">
        <v>44860</v>
      </c>
      <c r="D434" s="2">
        <v>0.50416666666666665</v>
      </c>
      <c r="E434" s="1">
        <v>44861</v>
      </c>
      <c r="F434" s="2">
        <v>0.44513888888888892</v>
      </c>
      <c r="G434">
        <v>54.778297000000002</v>
      </c>
      <c r="H434">
        <v>123.247359</v>
      </c>
      <c r="I434" t="s">
        <v>23</v>
      </c>
      <c r="J434">
        <v>8.3000000000000007</v>
      </c>
      <c r="L434" t="s">
        <v>24</v>
      </c>
      <c r="M434">
        <v>0</v>
      </c>
      <c r="Q434" t="s">
        <v>415</v>
      </c>
      <c r="R434">
        <v>150</v>
      </c>
    </row>
    <row r="435" spans="1:18" x14ac:dyDescent="0.2">
      <c r="A435" t="s">
        <v>453</v>
      </c>
      <c r="B435" t="s">
        <v>714</v>
      </c>
      <c r="C435" s="1">
        <v>44860</v>
      </c>
      <c r="D435" s="2">
        <v>0.49861111111111112</v>
      </c>
      <c r="E435" s="1">
        <v>44861</v>
      </c>
      <c r="F435" s="2">
        <v>0.43472222222222223</v>
      </c>
      <c r="G435">
        <v>54.767180000000003</v>
      </c>
      <c r="H435">
        <v>123.253209</v>
      </c>
      <c r="I435" t="s">
        <v>23</v>
      </c>
      <c r="J435">
        <v>9.4</v>
      </c>
      <c r="L435" t="s">
        <v>24</v>
      </c>
      <c r="M435">
        <v>0</v>
      </c>
      <c r="Q435" t="s">
        <v>415</v>
      </c>
      <c r="R435">
        <v>150</v>
      </c>
    </row>
    <row r="436" spans="1:18" x14ac:dyDescent="0.2">
      <c r="A436" t="s">
        <v>453</v>
      </c>
      <c r="B436" t="s">
        <v>729</v>
      </c>
      <c r="C436" s="1">
        <v>44860</v>
      </c>
      <c r="D436" s="2">
        <v>0.53611111111111109</v>
      </c>
      <c r="E436" s="1">
        <v>44861</v>
      </c>
      <c r="F436" s="2">
        <v>0.49374999999999997</v>
      </c>
      <c r="G436">
        <v>54.774118999999999</v>
      </c>
      <c r="H436">
        <v>123.263003</v>
      </c>
      <c r="I436" t="s">
        <v>23</v>
      </c>
      <c r="J436">
        <v>4.0999999999999996</v>
      </c>
      <c r="L436" t="s">
        <v>24</v>
      </c>
      <c r="M436">
        <v>0</v>
      </c>
      <c r="Q436" t="s">
        <v>415</v>
      </c>
      <c r="R436">
        <v>150</v>
      </c>
    </row>
    <row r="437" spans="1:18" x14ac:dyDescent="0.2">
      <c r="A437" t="s">
        <v>453</v>
      </c>
      <c r="B437" t="s">
        <v>713</v>
      </c>
      <c r="C437" s="1">
        <v>44860</v>
      </c>
      <c r="D437" s="2">
        <v>0.49027777777777781</v>
      </c>
      <c r="E437" s="1">
        <v>44861</v>
      </c>
      <c r="F437" s="2">
        <v>0.43055555555555558</v>
      </c>
      <c r="G437">
        <v>54.737761999999996</v>
      </c>
      <c r="H437">
        <v>123.28252999999999</v>
      </c>
      <c r="I437" t="s">
        <v>23</v>
      </c>
      <c r="J437">
        <v>9.6</v>
      </c>
      <c r="L437" t="s">
        <v>117</v>
      </c>
      <c r="M437">
        <v>1</v>
      </c>
      <c r="Q437" t="s">
        <v>415</v>
      </c>
      <c r="R437">
        <v>150</v>
      </c>
    </row>
    <row r="438" spans="1:18" x14ac:dyDescent="0.2">
      <c r="A438" t="s">
        <v>453</v>
      </c>
      <c r="B438" t="s">
        <v>715</v>
      </c>
      <c r="C438" s="1">
        <v>44860</v>
      </c>
      <c r="D438" s="2">
        <v>0.50138888888888888</v>
      </c>
      <c r="E438" s="1">
        <v>44861</v>
      </c>
      <c r="F438" s="2">
        <v>0.44097222222222227</v>
      </c>
      <c r="G438">
        <v>54.774084000000002</v>
      </c>
      <c r="H438">
        <v>123.247463</v>
      </c>
      <c r="I438" t="s">
        <v>23</v>
      </c>
      <c r="J438">
        <v>9.9</v>
      </c>
      <c r="L438" t="s">
        <v>117</v>
      </c>
      <c r="M438">
        <v>2</v>
      </c>
      <c r="Q438" t="s">
        <v>415</v>
      </c>
      <c r="R438">
        <v>150</v>
      </c>
    </row>
    <row r="439" spans="1:18" x14ac:dyDescent="0.2">
      <c r="A439" t="s">
        <v>453</v>
      </c>
      <c r="B439" t="s">
        <v>712</v>
      </c>
      <c r="C439" s="1">
        <v>44860</v>
      </c>
      <c r="D439" s="2">
        <v>0.48680555555555555</v>
      </c>
      <c r="E439" s="1">
        <v>44861</v>
      </c>
      <c r="F439" s="2">
        <v>0.42708333333333331</v>
      </c>
      <c r="G439">
        <v>54.735047000000002</v>
      </c>
      <c r="H439">
        <v>123.28712899999999</v>
      </c>
      <c r="I439" t="s">
        <v>23</v>
      </c>
      <c r="J439">
        <v>10</v>
      </c>
      <c r="L439" t="s">
        <v>24</v>
      </c>
      <c r="M439">
        <v>0</v>
      </c>
      <c r="Q439" t="s">
        <v>415</v>
      </c>
      <c r="R439">
        <v>150</v>
      </c>
    </row>
    <row r="440" spans="1:18" x14ac:dyDescent="0.2">
      <c r="A440" t="s">
        <v>453</v>
      </c>
      <c r="B440" t="s">
        <v>731</v>
      </c>
      <c r="C440" s="1">
        <v>44860</v>
      </c>
      <c r="D440" s="2">
        <v>0.55555555555555558</v>
      </c>
      <c r="E440" s="1">
        <v>44861</v>
      </c>
      <c r="F440" s="2">
        <v>0.51041666666666663</v>
      </c>
      <c r="G440">
        <v>54.761389999999999</v>
      </c>
      <c r="H440">
        <v>123.307922</v>
      </c>
      <c r="I440" t="s">
        <v>23</v>
      </c>
      <c r="J440">
        <v>9</v>
      </c>
      <c r="L440" t="s">
        <v>24</v>
      </c>
      <c r="M440">
        <v>0</v>
      </c>
      <c r="O440" s="10"/>
      <c r="P440" s="10"/>
      <c r="Q440" t="s">
        <v>415</v>
      </c>
      <c r="R440">
        <v>150</v>
      </c>
    </row>
    <row r="441" spans="1:18" x14ac:dyDescent="0.2">
      <c r="A441" t="s">
        <v>453</v>
      </c>
      <c r="B441" t="s">
        <v>735</v>
      </c>
      <c r="C441" s="1">
        <v>44861</v>
      </c>
      <c r="D441" s="2">
        <v>0.56944444444444442</v>
      </c>
      <c r="E441" s="1">
        <v>44862</v>
      </c>
      <c r="F441" s="2">
        <v>0.38194444444444442</v>
      </c>
      <c r="G441">
        <v>54.783026</v>
      </c>
      <c r="H441">
        <v>123.320599</v>
      </c>
      <c r="I441" t="s">
        <v>23</v>
      </c>
      <c r="J441">
        <v>6.1</v>
      </c>
      <c r="L441" t="s">
        <v>24</v>
      </c>
      <c r="M441">
        <v>0</v>
      </c>
      <c r="Q441" t="s">
        <v>734</v>
      </c>
      <c r="R441">
        <v>150</v>
      </c>
    </row>
    <row r="442" spans="1:18" x14ac:dyDescent="0.2">
      <c r="A442" t="s">
        <v>453</v>
      </c>
      <c r="B442" t="s">
        <v>752</v>
      </c>
      <c r="C442" s="1">
        <v>44861</v>
      </c>
      <c r="D442" s="2">
        <v>0.64236111111111105</v>
      </c>
      <c r="E442" s="1">
        <v>44862</v>
      </c>
      <c r="F442" s="2">
        <v>0.4770833333333333</v>
      </c>
      <c r="G442">
        <v>54.810009999999998</v>
      </c>
      <c r="H442">
        <v>123.345825</v>
      </c>
      <c r="I442" t="s">
        <v>23</v>
      </c>
      <c r="J442">
        <v>4.0999999999999996</v>
      </c>
      <c r="L442" t="s">
        <v>117</v>
      </c>
      <c r="M442">
        <v>3</v>
      </c>
      <c r="Q442" t="s">
        <v>734</v>
      </c>
      <c r="R442">
        <v>150</v>
      </c>
    </row>
    <row r="443" spans="1:18" x14ac:dyDescent="0.2">
      <c r="A443" t="s">
        <v>453</v>
      </c>
      <c r="B443" t="s">
        <v>747</v>
      </c>
      <c r="C443" s="1">
        <v>44861</v>
      </c>
      <c r="D443" s="2">
        <v>0.61249999999999993</v>
      </c>
      <c r="E443" s="1">
        <v>44862</v>
      </c>
      <c r="F443" s="2">
        <v>0.42152777777777778</v>
      </c>
      <c r="G443">
        <v>54.800252</v>
      </c>
      <c r="H443">
        <v>123.33531499999999</v>
      </c>
      <c r="I443" t="s">
        <v>23</v>
      </c>
      <c r="J443">
        <v>6.2</v>
      </c>
      <c r="L443" t="s">
        <v>24</v>
      </c>
      <c r="M443">
        <v>0</v>
      </c>
      <c r="Q443" t="s">
        <v>734</v>
      </c>
      <c r="R443">
        <v>150</v>
      </c>
    </row>
    <row r="444" spans="1:18" x14ac:dyDescent="0.2">
      <c r="A444" t="s">
        <v>453</v>
      </c>
      <c r="B444" t="s">
        <v>754</v>
      </c>
      <c r="C444" s="1">
        <v>44861</v>
      </c>
      <c r="D444" s="2">
        <v>0.63194444444444442</v>
      </c>
      <c r="E444" s="1">
        <v>44862</v>
      </c>
      <c r="F444" s="2">
        <v>0.44791666666666669</v>
      </c>
      <c r="G444">
        <v>54.811490999999997</v>
      </c>
      <c r="H444">
        <v>123.330867</v>
      </c>
      <c r="I444" t="s">
        <v>23</v>
      </c>
      <c r="J444">
        <v>10</v>
      </c>
      <c r="L444" t="s">
        <v>24</v>
      </c>
      <c r="M444">
        <v>0</v>
      </c>
      <c r="Q444" t="s">
        <v>734</v>
      </c>
      <c r="R444">
        <v>150</v>
      </c>
    </row>
    <row r="445" spans="1:18" x14ac:dyDescent="0.2">
      <c r="A445" t="s">
        <v>453</v>
      </c>
      <c r="B445" t="s">
        <v>745</v>
      </c>
      <c r="C445" s="1">
        <v>44861</v>
      </c>
      <c r="D445" s="2">
        <v>0.61736111111111114</v>
      </c>
      <c r="E445" s="1">
        <v>44862</v>
      </c>
      <c r="F445" s="2">
        <v>0.42569444444444443</v>
      </c>
      <c r="G445">
        <v>54.795952</v>
      </c>
      <c r="H445">
        <v>123.327259</v>
      </c>
      <c r="I445" t="s">
        <v>23</v>
      </c>
      <c r="J445">
        <v>8.9</v>
      </c>
      <c r="L445" t="s">
        <v>117</v>
      </c>
      <c r="M445">
        <v>2</v>
      </c>
      <c r="Q445" t="s">
        <v>734</v>
      </c>
      <c r="R445">
        <v>150</v>
      </c>
    </row>
    <row r="446" spans="1:18" x14ac:dyDescent="0.2">
      <c r="A446" t="s">
        <v>453</v>
      </c>
      <c r="B446" t="s">
        <v>751</v>
      </c>
      <c r="C446" s="1">
        <v>44861</v>
      </c>
      <c r="D446" s="2">
        <v>0.64583333333333337</v>
      </c>
      <c r="E446" s="1">
        <v>44862</v>
      </c>
      <c r="F446" s="2">
        <v>0.48125000000000001</v>
      </c>
      <c r="G446">
        <v>54.808444999999999</v>
      </c>
      <c r="H446">
        <v>123.346959</v>
      </c>
      <c r="I446" t="s">
        <v>23</v>
      </c>
      <c r="J446">
        <v>6.1</v>
      </c>
      <c r="L446" t="s">
        <v>24</v>
      </c>
      <c r="M446">
        <v>0</v>
      </c>
      <c r="Q446" t="s">
        <v>734</v>
      </c>
      <c r="R446">
        <v>150</v>
      </c>
    </row>
    <row r="447" spans="1:18" x14ac:dyDescent="0.2">
      <c r="A447" t="s">
        <v>453</v>
      </c>
      <c r="B447" t="s">
        <v>733</v>
      </c>
      <c r="C447" s="1">
        <v>44861</v>
      </c>
      <c r="D447" s="2">
        <v>0.56388888888888888</v>
      </c>
      <c r="E447" s="1">
        <v>44862</v>
      </c>
      <c r="F447" s="2">
        <v>0.37916666666666665</v>
      </c>
      <c r="G447">
        <v>54.781438000000001</v>
      </c>
      <c r="H447">
        <v>123.336522</v>
      </c>
      <c r="I447" t="s">
        <v>23</v>
      </c>
      <c r="J447">
        <v>6.2</v>
      </c>
      <c r="L447" t="s">
        <v>24</v>
      </c>
      <c r="M447">
        <v>0</v>
      </c>
      <c r="Q447" t="s">
        <v>734</v>
      </c>
      <c r="R447">
        <v>150</v>
      </c>
    </row>
    <row r="448" spans="1:18" x14ac:dyDescent="0.2">
      <c r="A448" t="s">
        <v>453</v>
      </c>
      <c r="B448" t="s">
        <v>755</v>
      </c>
      <c r="C448" s="1">
        <v>44861</v>
      </c>
      <c r="D448" s="2">
        <v>0.65277777777777779</v>
      </c>
      <c r="E448" s="1">
        <v>44862</v>
      </c>
      <c r="F448" s="2">
        <v>0.45</v>
      </c>
      <c r="G448">
        <v>54.815536000000002</v>
      </c>
      <c r="H448">
        <v>123.350325</v>
      </c>
      <c r="I448" t="s">
        <v>23</v>
      </c>
      <c r="J448">
        <v>9.6999999999999993</v>
      </c>
      <c r="L448" t="s">
        <v>24</v>
      </c>
      <c r="M448">
        <v>0</v>
      </c>
      <c r="Q448" t="s">
        <v>734</v>
      </c>
      <c r="R448">
        <v>150</v>
      </c>
    </row>
    <row r="449" spans="1:18" x14ac:dyDescent="0.2">
      <c r="A449" t="s">
        <v>453</v>
      </c>
      <c r="B449" t="s">
        <v>743</v>
      </c>
      <c r="C449" s="1">
        <v>44861</v>
      </c>
      <c r="D449" s="2">
        <v>0.59444444444444444</v>
      </c>
      <c r="E449" s="1">
        <v>44862</v>
      </c>
      <c r="F449" s="2">
        <v>0.37361111111111112</v>
      </c>
      <c r="G449">
        <v>54.793863000000002</v>
      </c>
      <c r="H449">
        <v>123.36062200000001</v>
      </c>
      <c r="I449" t="s">
        <v>23</v>
      </c>
      <c r="J449">
        <v>3</v>
      </c>
      <c r="L449" t="s">
        <v>24</v>
      </c>
      <c r="M449">
        <v>0</v>
      </c>
      <c r="Q449" t="s">
        <v>734</v>
      </c>
      <c r="R449">
        <v>150</v>
      </c>
    </row>
    <row r="450" spans="1:18" x14ac:dyDescent="0.2">
      <c r="A450" t="s">
        <v>453</v>
      </c>
      <c r="B450" t="s">
        <v>756</v>
      </c>
      <c r="C450" s="1">
        <v>44861</v>
      </c>
      <c r="D450" s="2">
        <v>0.65486111111111112</v>
      </c>
      <c r="E450" s="1">
        <v>44862</v>
      </c>
      <c r="F450" s="2">
        <v>0.45416666666666666</v>
      </c>
      <c r="G450">
        <v>54.818928</v>
      </c>
      <c r="H450">
        <v>123.345512</v>
      </c>
      <c r="I450" t="s">
        <v>23</v>
      </c>
      <c r="J450">
        <v>9.1</v>
      </c>
      <c r="L450" t="s">
        <v>24</v>
      </c>
      <c r="M450">
        <v>0</v>
      </c>
      <c r="Q450" t="s">
        <v>734</v>
      </c>
      <c r="R450">
        <v>150</v>
      </c>
    </row>
    <row r="451" spans="1:18" x14ac:dyDescent="0.2">
      <c r="A451" t="s">
        <v>453</v>
      </c>
      <c r="B451" t="s">
        <v>748</v>
      </c>
      <c r="C451" s="1">
        <v>44861</v>
      </c>
      <c r="D451" s="2">
        <v>0.60902777777777783</v>
      </c>
      <c r="E451" s="1">
        <v>44862</v>
      </c>
      <c r="F451" s="2">
        <v>0.41250000000000003</v>
      </c>
      <c r="G451">
        <v>54.796954999999997</v>
      </c>
      <c r="H451">
        <v>123.33859699999999</v>
      </c>
      <c r="I451" t="s">
        <v>23</v>
      </c>
      <c r="J451">
        <v>7.2</v>
      </c>
      <c r="L451" t="s">
        <v>24</v>
      </c>
      <c r="M451">
        <v>0</v>
      </c>
      <c r="Q451" t="s">
        <v>734</v>
      </c>
      <c r="R451">
        <v>150</v>
      </c>
    </row>
    <row r="452" spans="1:18" x14ac:dyDescent="0.2">
      <c r="A452" t="s">
        <v>453</v>
      </c>
      <c r="B452" t="s">
        <v>749</v>
      </c>
      <c r="C452" s="1">
        <v>44861</v>
      </c>
      <c r="D452" s="2">
        <v>0.60277777777777775</v>
      </c>
      <c r="E452" s="1">
        <v>44862</v>
      </c>
      <c r="F452" s="2">
        <v>0.40763888888888888</v>
      </c>
      <c r="G452">
        <v>54.799636</v>
      </c>
      <c r="H452">
        <v>123.354117</v>
      </c>
      <c r="I452" t="s">
        <v>23</v>
      </c>
      <c r="J452">
        <v>3.6</v>
      </c>
      <c r="L452" t="s">
        <v>24</v>
      </c>
      <c r="M452">
        <v>0</v>
      </c>
      <c r="Q452" t="s">
        <v>734</v>
      </c>
      <c r="R452">
        <v>150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2022_burbot_trap_sets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Microsoft Office User</dc:creator>
  <cp:keywords/>
  <dc:description/>
  <cp:lastModifiedBy>Microsoft Office User</cp:lastModifiedBy>
  <cp:revision/>
  <dcterms:created xsi:type="dcterms:W3CDTF">2022-07-07T21:04:14Z</dcterms:created>
  <dcterms:modified xsi:type="dcterms:W3CDTF">2023-06-05T16:42:54Z</dcterms:modified>
  <cp:category/>
  <cp:contentStatus/>
</cp:coreProperties>
</file>